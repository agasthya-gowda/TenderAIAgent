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<sst xmlns="http://schemas.openxmlformats.org/spreadsheetml/2006/main" count="31" uniqueCount="20">
  <si>
    <t>Financial Year</t>
  </si>
  <si>
    <t>Annual Turnover (₹)</t>
  </si>
  <si>
    <t>GST (₹)</t>
  </si>
  <si>
    <t>Total (₹)</t>
  </si>
  <si>
    <t>STATUS</t>
  </si>
  <si>
    <t>2020-21</t>
  </si>
  <si>
    <t>AUDITED</t>
  </si>
  <si>
    <t>2021-22</t>
  </si>
  <si>
    <t>2022-23</t>
  </si>
  <si>
    <t>2023-24</t>
  </si>
  <si>
    <t>2024-25</t>
  </si>
  <si>
    <t>2025-26</t>
  </si>
  <si>
    <t>UNAUDITED</t>
  </si>
  <si>
    <t>Total (Last 5 yrs)</t>
  </si>
  <si>
    <t>Avg (Last 5 yrs)</t>
  </si>
  <si>
    <t>Total (Last 4 yrs)</t>
  </si>
  <si>
    <t>Avg (Last 4 yrs)</t>
  </si>
  <si>
    <t>Total (Last 3 yrs)</t>
  </si>
  <si>
    <t>Avg (Last 3 yrs)</t>
  </si>
  <si>
    <t>AUDITED+UNAUDITED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</si>
</sst>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sz val="15.0"/>
      <color rgb="FFFFFFFF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0" fillId="0" fontId="2" numFmtId="0" xfId="0" applyFont="1"/>
    <xf borderId="1" fillId="0" fontId="2" numFmtId="0" xfId="0" applyAlignment="1" applyBorder="1" applyFont="1">
      <alignment horizontal="center" readingOrder="0" shrinkToFit="0" wrapText="0"/>
    </xf>
    <xf borderId="1" fillId="0" fontId="2" numFmtId="4" xfId="0" applyAlignment="1" applyBorder="1" applyFont="1" applyNumberFormat="1">
      <alignment horizontal="right" readingOrder="0" shrinkToFit="0" wrapText="0"/>
    </xf>
    <xf borderId="1" fillId="2" fontId="1" numFmtId="4" xfId="0" applyAlignment="1" applyBorder="1" applyFill="1" applyFont="1" applyNumberFormat="1">
      <alignment horizontal="right" readingOrder="0" shrinkToFit="0" wrapText="0"/>
    </xf>
    <xf borderId="2" fillId="3" fontId="3" numFmtId="0" xfId="0" applyAlignment="1" applyBorder="1" applyFill="1" applyFont="1">
      <alignment horizontal="center" readingOrder="0" shrinkToFit="0" vertical="bottom" wrapText="0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shrinkToFit="0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25"/>
    <col customWidth="1" min="2" max="2" width="29.25"/>
    <col customWidth="1" min="3" max="4" width="22.63"/>
    <col customWidth="1" min="5" max="5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>
        <v>2.408428507E7</v>
      </c>
      <c r="C2" s="4">
        <v>4378146.93</v>
      </c>
      <c r="D2" s="5">
        <f t="shared" ref="D2:D7" si="1">SUM(B2:C2)</f>
        <v>28462432</v>
      </c>
      <c r="E2" s="3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7</v>
      </c>
      <c r="B3" s="4">
        <v>2.726894462E7</v>
      </c>
      <c r="C3" s="4">
        <v>3969800.38</v>
      </c>
      <c r="D3" s="5">
        <f t="shared" si="1"/>
        <v>31238745</v>
      </c>
      <c r="E3" s="3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</v>
      </c>
      <c r="B4" s="4">
        <v>8.528408397E7</v>
      </c>
      <c r="C4" s="4">
        <v>1.432460803E7</v>
      </c>
      <c r="D4" s="5">
        <f t="shared" si="1"/>
        <v>99608692</v>
      </c>
      <c r="E4" s="3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9</v>
      </c>
      <c r="B5" s="4">
        <v>1.5492628113E8</v>
      </c>
      <c r="C5" s="4">
        <v>2.716034287E7</v>
      </c>
      <c r="D5" s="5">
        <f t="shared" si="1"/>
        <v>182086624</v>
      </c>
      <c r="E5" s="3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</v>
      </c>
      <c r="B6" s="4">
        <v>1.3725884692E8</v>
      </c>
      <c r="C6" s="4">
        <v>2.474364971E7</v>
      </c>
      <c r="D6" s="5">
        <f t="shared" si="1"/>
        <v>162002496.6</v>
      </c>
      <c r="E6" s="3" t="s">
        <v>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11</v>
      </c>
      <c r="B7" s="4">
        <v>1.7416105939E8</v>
      </c>
      <c r="C7" s="4">
        <v>3.133665541E7</v>
      </c>
      <c r="D7" s="5">
        <f t="shared" si="1"/>
        <v>205497714.8</v>
      </c>
      <c r="E7" s="3" t="s">
        <v>12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6</v>
      </c>
      <c r="B9" s="7"/>
      <c r="C9" s="7"/>
      <c r="D9" s="7"/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13</v>
      </c>
      <c r="B10" s="4">
        <f t="shared" ref="B10:D10" si="2">SUM(B2:B6)</f>
        <v>428822441.7</v>
      </c>
      <c r="C10" s="4">
        <f t="shared" si="2"/>
        <v>74576547.92</v>
      </c>
      <c r="D10" s="5">
        <f t="shared" si="2"/>
        <v>503398989.6</v>
      </c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14</v>
      </c>
      <c r="B11" s="4">
        <f t="shared" ref="B11:D11" si="3">AVERAGE(B2:B6)</f>
        <v>85764488.34</v>
      </c>
      <c r="C11" s="4">
        <f t="shared" si="3"/>
        <v>14915309.58</v>
      </c>
      <c r="D11" s="5">
        <f t="shared" si="3"/>
        <v>100679797.9</v>
      </c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15</v>
      </c>
      <c r="B12" s="4">
        <f t="shared" ref="B12:D12" si="4">SUM(B3:B6)</f>
        <v>404738156.6</v>
      </c>
      <c r="C12" s="4">
        <f t="shared" si="4"/>
        <v>70198400.99</v>
      </c>
      <c r="D12" s="5">
        <f t="shared" si="4"/>
        <v>474936557.6</v>
      </c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16</v>
      </c>
      <c r="B13" s="4">
        <f t="shared" ref="B13:D13" si="5">AVERAGE(B2:B6)</f>
        <v>85764488.34</v>
      </c>
      <c r="C13" s="4">
        <f t="shared" si="5"/>
        <v>14915309.58</v>
      </c>
      <c r="D13" s="5">
        <f t="shared" si="5"/>
        <v>100679797.9</v>
      </c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17</v>
      </c>
      <c r="B14" s="4">
        <f t="shared" ref="B14:D14" si="6">SUM(B4:B6)</f>
        <v>377469212</v>
      </c>
      <c r="C14" s="4">
        <f t="shared" si="6"/>
        <v>66228600.61</v>
      </c>
      <c r="D14" s="5">
        <f t="shared" si="6"/>
        <v>443697812.6</v>
      </c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18</v>
      </c>
      <c r="B15" s="4">
        <f t="shared" ref="B15:D15" si="7">AVERAGE(B4:B6)</f>
        <v>125823070.7</v>
      </c>
      <c r="C15" s="4">
        <f t="shared" si="7"/>
        <v>22076200.2</v>
      </c>
      <c r="D15" s="5">
        <f t="shared" si="7"/>
        <v>147899270.9</v>
      </c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/>
      <c r="B16" s="11"/>
      <c r="C16" s="11"/>
      <c r="D16" s="11"/>
      <c r="E16" s="1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19</v>
      </c>
      <c r="B17" s="7"/>
      <c r="C17" s="7"/>
      <c r="D17" s="7"/>
      <c r="E17" s="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13</v>
      </c>
      <c r="B18" s="4">
        <f t="shared" ref="B18:D18" si="8">SUM(B3:B7)</f>
        <v>578899216</v>
      </c>
      <c r="C18" s="4">
        <f t="shared" si="8"/>
        <v>101535056.4</v>
      </c>
      <c r="D18" s="5">
        <f t="shared" si="8"/>
        <v>680434272.4</v>
      </c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14</v>
      </c>
      <c r="B19" s="4">
        <f t="shared" ref="B19:D19" si="9">AVERAGE(B3:B7)</f>
        <v>115779843.2</v>
      </c>
      <c r="C19" s="4">
        <f t="shared" si="9"/>
        <v>20307011.28</v>
      </c>
      <c r="D19" s="5">
        <f t="shared" si="9"/>
        <v>136086854.5</v>
      </c>
      <c r="E19" s="1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15</v>
      </c>
      <c r="B20" s="4">
        <f t="shared" ref="B20:D20" si="10">SUM(B4:B7)</f>
        <v>551630271.4</v>
      </c>
      <c r="C20" s="4">
        <f t="shared" si="10"/>
        <v>97565256.02</v>
      </c>
      <c r="D20" s="5">
        <f t="shared" si="10"/>
        <v>649195527.4</v>
      </c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16</v>
      </c>
      <c r="B21" s="4">
        <f t="shared" ref="B21:D21" si="11">AVERAGE(B4:B7)</f>
        <v>137907567.9</v>
      </c>
      <c r="C21" s="4">
        <f t="shared" si="11"/>
        <v>24391314.01</v>
      </c>
      <c r="D21" s="5">
        <f t="shared" si="11"/>
        <v>162298881.9</v>
      </c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 t="s">
        <v>17</v>
      </c>
      <c r="B22" s="4">
        <f t="shared" ref="B22:D22" si="12">SUM(B5:B7)</f>
        <v>466346187.4</v>
      </c>
      <c r="C22" s="4">
        <f t="shared" si="12"/>
        <v>83240647.99</v>
      </c>
      <c r="D22" s="5">
        <f t="shared" si="12"/>
        <v>549586835.4</v>
      </c>
      <c r="E22" s="1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 t="s">
        <v>18</v>
      </c>
      <c r="B23" s="4">
        <f t="shared" ref="B23:D23" si="13">AVERAGE(B5:B7)</f>
        <v>155448729.1</v>
      </c>
      <c r="C23" s="4">
        <f t="shared" si="13"/>
        <v>27746882.66</v>
      </c>
      <c r="D23" s="5">
        <f t="shared" si="13"/>
        <v>183195611.8</v>
      </c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">
    <mergeCell ref="A9:E9"/>
    <mergeCell ref="A17:E17"/>
  </mergeCells>
  <drawing r:id="rId1"/>
</worksheet>
</file>