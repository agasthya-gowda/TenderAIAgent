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 1 Project References" sheetId="1" r:id="rId5"/>
    <sheet state="visible" name="Tab 2 Company Credentials" sheetId="2" r:id="rId6"/>
    <sheet state="visible" name="Tab 3 Financial Documents" sheetId="3" r:id="rId7"/>
    <sheet state="visible" name="Tab 4 Tender_Qualification_Regi" sheetId="4" r:id="rId8"/>
    <sheet state="visible" name="Tab 5 Project Quantity Register" sheetId="5" r:id="rId9"/>
  </sheets>
  <definedNames>
    <definedName hidden="1" localSheetId="0" name="_xlnm._FilterDatabase">'Tab 1 Project References'!$A$1:$AE$21</definedName>
  </definedNames>
  <calcPr/>
</workbook>
</file>

<file path=xl/sharedStrings.xml><?xml version="1.0" encoding="utf-8"?>
<sst xmlns="http://schemas.openxmlformats.org/spreadsheetml/2006/main" count="765" uniqueCount="332">
  <si>
    <t>Sl No</t>
  </si>
  <si>
    <t>Project ID</t>
  </si>
  <si>
    <t>Project Name</t>
  </si>
  <si>
    <t>Tender ID</t>
  </si>
  <si>
    <t>Financial ID</t>
  </si>
  <si>
    <t>Customer / Department</t>
  </si>
  <si>
    <t>Department Type</t>
  </si>
  <si>
    <t>Tender Name</t>
  </si>
  <si>
    <t>Financial Year</t>
  </si>
  <si>
    <t>Credential ID</t>
  </si>
  <si>
    <t>Customer Type</t>
  </si>
  <si>
    <t>Tender Authority</t>
  </si>
  <si>
    <t>Annual Turnover (₹)</t>
  </si>
  <si>
    <t>Location</t>
  </si>
  <si>
    <t>Credential Name</t>
  </si>
  <si>
    <t>Solution Category</t>
  </si>
  <si>
    <t>GST (₹)</t>
  </si>
  <si>
    <t>Eligibility Tags</t>
  </si>
  <si>
    <t>Credential Type</t>
  </si>
  <si>
    <t>Total Sales (₹)</t>
  </si>
  <si>
    <t>Project Scope</t>
  </si>
  <si>
    <t>Tender Value (Approx)</t>
  </si>
  <si>
    <t>Audit Status</t>
  </si>
  <si>
    <t>Issuing Authority</t>
  </si>
  <si>
    <t>Project Value (₹)</t>
  </si>
  <si>
    <t>Bid Due Date</t>
  </si>
  <si>
    <t>Audited Balance Sheet Available</t>
  </si>
  <si>
    <t>Project Value Category</t>
  </si>
  <si>
    <t>Certificate No</t>
  </si>
  <si>
    <t>Government Project (Y/N)</t>
  </si>
  <si>
    <t>P&amp;L Statement Available</t>
  </si>
  <si>
    <t>Issue Date</t>
  </si>
  <si>
    <t>CA Turnover Certificate Available</t>
  </si>
  <si>
    <t>Expiry Date</t>
  </si>
  <si>
    <t>Company Registration Status</t>
  </si>
  <si>
    <t>IT Return Available</t>
  </si>
  <si>
    <t>Status</t>
  </si>
  <si>
    <t>Turnover Status</t>
  </si>
  <si>
    <t>Folder Link</t>
  </si>
  <si>
    <t>Award Document Available</t>
  </si>
  <si>
    <t>Tender Relevance</t>
  </si>
  <si>
    <t>Experience Status</t>
  </si>
  <si>
    <t>Award Document Type</t>
  </si>
  <si>
    <t>Remarks</t>
  </si>
  <si>
    <t>Document No</t>
  </si>
  <si>
    <t>File Link</t>
  </si>
  <si>
    <t>Certification Status</t>
  </si>
  <si>
    <t>Document Date</t>
  </si>
  <si>
    <t>OEM / OSD Status</t>
  </si>
  <si>
    <t>Completion/Experience Certificate Available</t>
  </si>
  <si>
    <t>Certificate Value (₹)</t>
  </si>
  <si>
    <t>Overall Qualification</t>
  </si>
  <si>
    <t>FIN-2020-21</t>
  </si>
  <si>
    <t>Project Status</t>
  </si>
  <si>
    <t>Decision</t>
  </si>
  <si>
    <t>FY 2020-21</t>
  </si>
  <si>
    <t>CC-001</t>
  </si>
  <si>
    <t>Warranty Status</t>
  </si>
  <si>
    <t>Project References</t>
  </si>
  <si>
    <t>Reference Strength</t>
  </si>
  <si>
    <t>Firm Registration</t>
  </si>
  <si>
    <t>Project Folder Link</t>
  </si>
  <si>
    <t>Registration</t>
  </si>
  <si>
    <t>Credentials References</t>
  </si>
  <si>
    <t>Financial References</t>
  </si>
  <si>
    <t>Security Deposit Status</t>
  </si>
  <si>
    <t>Registrar of Firms, Chikkamagaluru, Government of Karnataka</t>
  </si>
  <si>
    <t>Security Deposit Type</t>
  </si>
  <si>
    <t>Security Deposit No</t>
  </si>
  <si>
    <t>CMG-F73-2010-11</t>
  </si>
  <si>
    <t>Security Deposit Value</t>
  </si>
  <si>
    <t>Security Deposit As on</t>
  </si>
  <si>
    <t>Security Deposit Cleared Date</t>
  </si>
  <si>
    <t>Valid</t>
  </si>
  <si>
    <t>CS-2020-001</t>
  </si>
  <si>
    <t>High</t>
  </si>
  <si>
    <t>Supply, Installation and Maintenance of CCTV camera with ANPR System at 8 Junctions of Chikkaballapura City Limits</t>
  </si>
  <si>
    <t>Superintendent of Police, Chikkaballapura</t>
  </si>
  <si>
    <t>AUDITED FILED</t>
  </si>
  <si>
    <t>Yes</t>
  </si>
  <si>
    <t>Police</t>
  </si>
  <si>
    <t>Direct Customer</t>
  </si>
  <si>
    <t>Chikkaballapura</t>
  </si>
  <si>
    <t>Surveillance</t>
  </si>
  <si>
    <t>INDIAN PARTNERSHIP ACT 1932</t>
  </si>
  <si>
    <t>CCTV;ANPR;Traffic Monitoring;Networking</t>
  </si>
  <si>
    <t>Supply, Installation, Testing, Commissioning, Software Development, Deployment, Maintenance</t>
  </si>
  <si>
    <t>50 Lakh - 1 Cr</t>
  </si>
  <si>
    <t>CC-002</t>
  </si>
  <si>
    <t>FIN-2021-22</t>
  </si>
  <si>
    <t>FY 2021-22</t>
  </si>
  <si>
    <t>Work Order (WO)</t>
  </si>
  <si>
    <t>VAT Registration</t>
  </si>
  <si>
    <t>SANGRAHA/21/2019-20</t>
  </si>
  <si>
    <t>Commercial Tax Department, Government of Karnataka</t>
  </si>
  <si>
    <t>Completed</t>
  </si>
  <si>
    <t>Low</t>
  </si>
  <si>
    <t>Medium</t>
  </si>
  <si>
    <t>Not Applicable</t>
  </si>
  <si>
    <t>FIN-2022-23</t>
  </si>
  <si>
    <t>FY 2022-23</t>
  </si>
  <si>
    <t>KARNATAKA VAT ACT 2003</t>
  </si>
  <si>
    <t>CC-003</t>
  </si>
  <si>
    <t>GSTIN</t>
  </si>
  <si>
    <t>GST Department, Central Board of Indirect Taxes and Customs (CBIC), Government of India</t>
  </si>
  <si>
    <t>29AAHFC3757D1ZF</t>
  </si>
  <si>
    <t>FIN-2023-24</t>
  </si>
  <si>
    <t>FY 2023-24</t>
  </si>
  <si>
    <t>CS-2022-001</t>
  </si>
  <si>
    <t>Supply, Installation and Maintenance of CCTV camera with ANPR System at 8 Junctions of Ramanagar Town Limits</t>
  </si>
  <si>
    <t>Nirmithi Kendra, Ramanagara</t>
  </si>
  <si>
    <t>State Government</t>
  </si>
  <si>
    <t>Ramanagara</t>
  </si>
  <si>
    <t>CC-004</t>
  </si>
  <si>
    <t>CCTV; ANPR; LPU; Servers; Control Room</t>
  </si>
  <si>
    <t>PAN</t>
  </si>
  <si>
    <t>Supply, Installation, Testing, Commissioning, Integration, Maintenance</t>
  </si>
  <si>
    <t>Income Tax Department</t>
  </si>
  <si>
    <t>AAHFC3757D</t>
  </si>
  <si>
    <t>NKR/CCTVRTOWN/448/2022-23</t>
  </si>
  <si>
    <t>FIN-2024-25</t>
  </si>
  <si>
    <t>FY 2024-25</t>
  </si>
  <si>
    <t>CC-005</t>
  </si>
  <si>
    <t>MSME-UDYAM</t>
  </si>
  <si>
    <t>Ministry of Micro, Small and Medium Enterprises of India</t>
  </si>
  <si>
    <t>UDYAM-KR-09-0000800</t>
  </si>
  <si>
    <t>CS-2022-002</t>
  </si>
  <si>
    <t>FIN-2025-26</t>
  </si>
  <si>
    <t>Supply, Installation and Maintenance of CCTV camera with ANPR System at 3 Junctions of Ramanagar Municipal Limits</t>
  </si>
  <si>
    <t>FY 2025-26</t>
  </si>
  <si>
    <t>UNDER AUDIT</t>
  </si>
  <si>
    <t>No</t>
  </si>
  <si>
    <t>Less than 50 Lakh</t>
  </si>
  <si>
    <t>CC-006</t>
  </si>
  <si>
    <t>NKR/CCTVAKRDISTRICT/520/2022-23</t>
  </si>
  <si>
    <t>MSME-UDYOG</t>
  </si>
  <si>
    <t>KR09E0000764</t>
  </si>
  <si>
    <t>CS-2023-001</t>
  </si>
  <si>
    <t xml:space="preserve">Supply, Installation, Commissioning and Maintenance of ANPR Cameras for Innerline Enforcement on NH-48 (Old NH-4) for Davanagere, Chitradurga and Haveri Districts of Estern Range Jurisdiction </t>
  </si>
  <si>
    <t>Deputy Inspector General of Police, Eastern Range, Davanagere</t>
  </si>
  <si>
    <t>Davanagere, Chitradurga, Haveri</t>
  </si>
  <si>
    <t>Traffic Enforcement</t>
  </si>
  <si>
    <t>CC-007</t>
  </si>
  <si>
    <t>CCTV;ANPR;Traffic Monitoring;E-Challan;Networking</t>
  </si>
  <si>
    <t>NSIC</t>
  </si>
  <si>
    <t>Supply, Installation, Testing, Commissioning, Integration, Software Development, Maintenance</t>
  </si>
  <si>
    <t>License</t>
  </si>
  <si>
    <t>The National Small Industries Corporation Limited</t>
  </si>
  <si>
    <t>NSIC/GP/PEE/2023/0052840</t>
  </si>
  <si>
    <t>29/Sangraha/ER/2022-23</t>
  </si>
  <si>
    <t>Warranty Support</t>
  </si>
  <si>
    <t>Returned</t>
  </si>
  <si>
    <t>Manual PBG</t>
  </si>
  <si>
    <t>CC-008</t>
  </si>
  <si>
    <t>IEC</t>
  </si>
  <si>
    <t>The Directorate General of Foreign Trade (DGFT),The Ministry of Commerce and Industry, Government of India</t>
  </si>
  <si>
    <t>0712000372</t>
  </si>
  <si>
    <t>CS-2024-001</t>
  </si>
  <si>
    <t>Supply, Indtallation and Maintenance of Driver Monitoring System with Digital Video Recorder</t>
  </si>
  <si>
    <t>Commissioner of Police, Bengaluru City</t>
  </si>
  <si>
    <t>Bengaluru</t>
  </si>
  <si>
    <t>Dash Camera; AI Platform; Software; Transport; Surveillance</t>
  </si>
  <si>
    <t>CC-009</t>
  </si>
  <si>
    <t>ISO 9001:2015</t>
  </si>
  <si>
    <t>2 Cr - 5 Cr</t>
  </si>
  <si>
    <t>Certification</t>
  </si>
  <si>
    <t>Quality Control Certification</t>
  </si>
  <si>
    <t>QMS/C72A/0423</t>
  </si>
  <si>
    <t>Purchase Order (PO)</t>
  </si>
  <si>
    <t>GEMC-511687706006939</t>
  </si>
  <si>
    <t>QUALITY MANAGEMENT SYSTEM</t>
  </si>
  <si>
    <t>Strong</t>
  </si>
  <si>
    <t>Deposited</t>
  </si>
  <si>
    <t>SMLGPGE240780056</t>
  </si>
  <si>
    <t>CC-010</t>
  </si>
  <si>
    <t>ISO 14001:2015</t>
  </si>
  <si>
    <t>EMS/6F1F/0124</t>
  </si>
  <si>
    <t>ENVIRONMENTAL MANAGEMENT SYSTEM</t>
  </si>
  <si>
    <t>CS-2024-002</t>
  </si>
  <si>
    <t>CC-011</t>
  </si>
  <si>
    <t>ISO/IEC 20000-1:2018</t>
  </si>
  <si>
    <t>Supply, Indtallation and Maintenance of High-end Desktop with Forensic Software and High-end Laptops with orensic Software</t>
  </si>
  <si>
    <t>ITSM/C72D/0423</t>
  </si>
  <si>
    <t>Forensics</t>
  </si>
  <si>
    <t>INFORMATION TECHNOLOGY SERVICE MANAGEMENT</t>
  </si>
  <si>
    <t>Desktop; Laptop; Forensic; Tools</t>
  </si>
  <si>
    <t>Supply, Installation, Testing, Maintenance</t>
  </si>
  <si>
    <t>CC-012</t>
  </si>
  <si>
    <t>ISO/IEC 27001:2022</t>
  </si>
  <si>
    <t>1 Cr - 2 Cr</t>
  </si>
  <si>
    <t>ISMS/CAE3/0423</t>
  </si>
  <si>
    <t>Agreement / Contract</t>
  </si>
  <si>
    <t>GEMC-511687747875669</t>
  </si>
  <si>
    <t>INFORMATION SECURITY MANAGEMENT SYSTEM</t>
  </si>
  <si>
    <t>CC-013</t>
  </si>
  <si>
    <t>ISO 45001:2018</t>
  </si>
  <si>
    <t>ROYAL ASSESSMENTS PVT. LTD.</t>
  </si>
  <si>
    <t>E20250727193</t>
  </si>
  <si>
    <t>SMLGPGE240780053</t>
  </si>
  <si>
    <t>Occupational Health &amp; Safety Management Systems</t>
  </si>
  <si>
    <t>CC-014</t>
  </si>
  <si>
    <t>CMMI Maturity Level 5</t>
  </si>
  <si>
    <t>United Ackreditering Services Limited</t>
  </si>
  <si>
    <t>CMMI/EC4F/0626</t>
  </si>
  <si>
    <t>CC-015</t>
  </si>
  <si>
    <t>Labor License (Chikkamagaluru)</t>
  </si>
  <si>
    <t>GOVERNMENT OF KARNATAKA : DEPARTMENT OF LABOUR</t>
  </si>
  <si>
    <t>CS-2024-003</t>
  </si>
  <si>
    <t>CM1/1/S/0012/2023</t>
  </si>
  <si>
    <t>Suuply of Color Digital Night Vision Monocular Device Tactical Kit</t>
  </si>
  <si>
    <t>Form C, Registration Certificate of Establishment</t>
  </si>
  <si>
    <t>Monocular Device; Surveillance</t>
  </si>
  <si>
    <t>CC-016</t>
  </si>
  <si>
    <t>Labor License (Bengaluru)</t>
  </si>
  <si>
    <t>47/45/S/0159/2023</t>
  </si>
  <si>
    <t>Quantity ID</t>
  </si>
  <si>
    <t>GEMC-511687768968819</t>
  </si>
  <si>
    <t>Quantity Category</t>
  </si>
  <si>
    <t>Quantity Executed</t>
  </si>
  <si>
    <t>SMLGPGE240780055</t>
  </si>
  <si>
    <t>Unit</t>
  </si>
  <si>
    <t>CC-017</t>
  </si>
  <si>
    <t>Customer</t>
  </si>
  <si>
    <t>Certificate Available</t>
  </si>
  <si>
    <t>Company TAN</t>
  </si>
  <si>
    <t>BLRC25303F</t>
  </si>
  <si>
    <t>QTY-0001</t>
  </si>
  <si>
    <t>CS-2025-001</t>
  </si>
  <si>
    <t>AI-Based Social Media Monitoring &amp; Analysis Platform</t>
  </si>
  <si>
    <t>CS-2024-004</t>
  </si>
  <si>
    <t>Development of Evidence Management Software and Integration with Police IT with 1 Year Support</t>
  </si>
  <si>
    <t>AI &amp; Analytics</t>
  </si>
  <si>
    <t>Director General of Police, Police Computer Wing, Bengaluru</t>
  </si>
  <si>
    <t>Software Platform</t>
  </si>
  <si>
    <t>Set</t>
  </si>
  <si>
    <t>Software Solutions</t>
  </si>
  <si>
    <t>Software; Solution; AI Platform</t>
  </si>
  <si>
    <t>Supply, Installation, Testing, Commissioning, Integration, Software Development, Deployment, Maintenance</t>
  </si>
  <si>
    <t>14:STS:ADGP:PCW:2024-25</t>
  </si>
  <si>
    <t>QTY-0002</t>
  </si>
  <si>
    <t>Software User License</t>
  </si>
  <si>
    <t>Weak</t>
  </si>
  <si>
    <t>Nos</t>
  </si>
  <si>
    <t>QTY-0003</t>
  </si>
  <si>
    <t>CS-2025-002</t>
  </si>
  <si>
    <t>Universal Surveillance System</t>
  </si>
  <si>
    <t>CS-2024-005</t>
  </si>
  <si>
    <t>Implimentation of Driver Drowsiness and Collision Warning System</t>
  </si>
  <si>
    <t>Transport Department</t>
  </si>
  <si>
    <t>Transport</t>
  </si>
  <si>
    <t>Wireless Node</t>
  </si>
  <si>
    <t>TC/ENF-3/PR-71/2023-24</t>
  </si>
  <si>
    <t>QTY-0004</t>
  </si>
  <si>
    <t>Applied</t>
  </si>
  <si>
    <t>CS-2025-003</t>
  </si>
  <si>
    <t>Supply, Installation and Maintenance of ANPR System for Traffic Monitoring as Various Locations in Belagavi District</t>
  </si>
  <si>
    <t>ANPR Camera</t>
  </si>
  <si>
    <t>FD</t>
  </si>
  <si>
    <t>140138474921/1</t>
  </si>
  <si>
    <t>Superintendent of Police, Belagavi District</t>
  </si>
  <si>
    <t>QTY-0005</t>
  </si>
  <si>
    <t>CS-2024-006</t>
  </si>
  <si>
    <t>Supply, Installation, Commissioning and Maintenance of ANPR &amp; FR Based Surveillance Camera &amp; Solutions with Video Wall at Raichur</t>
  </si>
  <si>
    <t>Superintendent of Police, Raichur District</t>
  </si>
  <si>
    <t>Raichur</t>
  </si>
  <si>
    <t>CCTV;ANPR;Face Recognision;IVMS;Speed Dome;Video Wall; OFC;Networking</t>
  </si>
  <si>
    <t>Supply, Installation, Testing, Commissioning, Integration, Software Development, Deployment, Maintenance, Technical Support</t>
  </si>
  <si>
    <t>QTY-0006</t>
  </si>
  <si>
    <t>Sangraha/Etender/CCTV/2023-24</t>
  </si>
  <si>
    <t>SMLGPGE243310066</t>
  </si>
  <si>
    <t>ANPR Application 1 No, E-Challan 1 No</t>
  </si>
  <si>
    <t>QTY-0007</t>
  </si>
  <si>
    <t>Supply, Installation and Maintenance of Cyber Forensic Detection &amp; Investigating Tools</t>
  </si>
  <si>
    <t>Laptop; Forensic; Tools</t>
  </si>
  <si>
    <t>QTY-0008</t>
  </si>
  <si>
    <t>COPBCP/STS/STS3(SCP)/1/2025</t>
  </si>
  <si>
    <t>Server</t>
  </si>
  <si>
    <t>E-PBG</t>
  </si>
  <si>
    <t>10915GPGE2507901</t>
  </si>
  <si>
    <t>QTY-0009</t>
  </si>
  <si>
    <t>4G Connectivity</t>
  </si>
  <si>
    <t>Locations</t>
  </si>
  <si>
    <t>QTY-0010</t>
  </si>
  <si>
    <t>Social Media Analysis;AI Platform</t>
  </si>
  <si>
    <t>NVR</t>
  </si>
  <si>
    <t>Design, Supply, Installation, Testing, Commissioning, Integration, Customization, Software Development, Deployment</t>
  </si>
  <si>
    <t>COPBCP/STS/STS3(SCP)/70/2023</t>
  </si>
  <si>
    <t>10915GPGE2523301</t>
  </si>
  <si>
    <t>Supply, Installation, Commissioning and Maintenance of Renewable Energy/ Solar Based Surveillance System at 07 Different Locations in Chikkamagaluru City, integrated with e-Challan and AI Solutions including Video Wall command Centre in SP Office, Chikkamagluru</t>
  </si>
  <si>
    <t>Superintendent of Police, Chikkamagaluru District</t>
  </si>
  <si>
    <t>Chikkamagaluru</t>
  </si>
  <si>
    <t>CCTV;ANPR;Traffic Monitoring;E-Challan;AI Analytics;Wireless;Networking;Video Wall</t>
  </si>
  <si>
    <t>STS/93/2025</t>
  </si>
  <si>
    <t>CS-2025-004</t>
  </si>
  <si>
    <t>LPU;Video Analytics;Surveillance</t>
  </si>
  <si>
    <t>Supply, Installation, Testing, Commissioning, Integration, Deployment, Maintenance</t>
  </si>
  <si>
    <t>COPBCP/STS/STS3(SCP)/10/2025</t>
  </si>
  <si>
    <t>10915GPGE2523302</t>
  </si>
  <si>
    <t>CS-2025-005</t>
  </si>
  <si>
    <t>Supply, Installation and Maintenance of AI Based Analytics using Drone Feeds and others (Aerial Traffic Intelligence Platorm)</t>
  </si>
  <si>
    <t>Drone Analtics;AI Platform;Software</t>
  </si>
  <si>
    <t>COPBCP/STS/STS3(SCP)/9/2025</t>
  </si>
  <si>
    <t>Work Under Progress</t>
  </si>
  <si>
    <t>10915GPGE2519201</t>
  </si>
  <si>
    <t>CS-2025-006</t>
  </si>
  <si>
    <t>Annual Maintenance of Surveillance Equipments in 35 Police Stations and 1 Viewing Station of Belagavi District for a period of 2 years</t>
  </si>
  <si>
    <t>Belagavi</t>
  </si>
  <si>
    <t>Maintenance</t>
  </si>
  <si>
    <t>Sangraha-2/CCTV/393/2025-26</t>
  </si>
  <si>
    <t>AMC</t>
  </si>
  <si>
    <t>10915GPGE2535401</t>
  </si>
  <si>
    <t>CS-2025-007</t>
  </si>
  <si>
    <t>CCTV;ANPR;Traffic Monitoring;E-Challan;AI Analytics;Wireless;Networking</t>
  </si>
  <si>
    <t>Supply, Installation, Commissioning, Integration, Software Development, Deployment, Maintenance, Technical Support</t>
  </si>
  <si>
    <t>Sangraha-2/CCTV/393(A)/2025-26</t>
  </si>
  <si>
    <t>10915GPGE2535402</t>
  </si>
  <si>
    <t>CS-2026-001</t>
  </si>
  <si>
    <t>Supply, Installation, Commissioning and Maintenance of Solar Based Surveillance System at 05 Different Locations with e-Challan System, ANPR and AI Solutions integrating with existing command Centre in SP Office, Chikkamagluru</t>
  </si>
  <si>
    <t>CS-2026-002</t>
  </si>
  <si>
    <t>Road Safety Works on Accident Spot improvement in Belagavi District</t>
  </si>
  <si>
    <t>Engineer-in-Chief, PRAMC. PWD, Bengaluru</t>
  </si>
  <si>
    <t>164/20256-26</t>
  </si>
  <si>
    <t>Ongoing</t>
  </si>
  <si>
    <t>10915GPGE2535403</t>
  </si>
  <si>
    <t>CS-2026-003</t>
  </si>
  <si>
    <t>Supply of Body Cameras with Docking Station to Uttara Kannada Police Department</t>
  </si>
  <si>
    <t>Superintendent of Police, Uttara Kannada District</t>
  </si>
  <si>
    <t>Karwar</t>
  </si>
  <si>
    <t>Body Worn Camera;Docking Station</t>
  </si>
  <si>
    <t>Supply, Maintenance, Training</t>
  </si>
  <si>
    <t>Sangraha/Rasthe Surakshate/303(2)/2025-26</t>
  </si>
  <si>
    <t>10915GPGE2606601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</si>
</sst>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₹]#,##0.00"/>
    <numFmt numFmtId="165" formatCode="dd/MM/yyyy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u/>
      <color rgb="FF1155CC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quotePrefix="1"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/>
    </xf>
    <xf borderId="0" fillId="0" fontId="5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Tab 3 Financial Docume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 1 Project Referenc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 4 Tender_Qualification_Reg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 2 Company Credential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 5 Project Quantity Registe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E21" displayName="Project_References" name="Project_References" id="4">
  <autoFilter ref="$A$1:$AE$21">
    <filterColumn colId="13">
      <filters>
        <filter val="FY 2024-25"/>
        <filter val="FY 2025-26"/>
        <filter val="FY 2022-23"/>
      </filters>
    </filterColumn>
  </autoFilter>
  <tableColumns count="31">
    <tableColumn name="Sl No" id="1"/>
    <tableColumn name="Project ID" id="2"/>
    <tableColumn name="Project Name" id="3"/>
    <tableColumn name="Customer / Department" id="4"/>
    <tableColumn name="Department Type" id="5"/>
    <tableColumn name="Customer Type" id="6"/>
    <tableColumn name="Location" id="7"/>
    <tableColumn name="Solution Category" id="8"/>
    <tableColumn name="Eligibility Tags" id="9"/>
    <tableColumn name="Project Scope" id="10"/>
    <tableColumn name="Project Value (₹)" id="11"/>
    <tableColumn name="Project Value Category" id="12"/>
    <tableColumn name="Government Project (Y/N)" id="13"/>
    <tableColumn name="Financial Year" id="14"/>
    <tableColumn name="Award Document Available" id="15"/>
    <tableColumn name="Award Document Type" id="16"/>
    <tableColumn name="Document No" id="17"/>
    <tableColumn name="Document Date" id="18"/>
    <tableColumn name="Completion/Experience Certificate Available" id="19"/>
    <tableColumn name="Certificate Value (₹)" id="20"/>
    <tableColumn name="Project Status" id="21"/>
    <tableColumn name="Warranty Status" id="22"/>
    <tableColumn name="Reference Strength" id="23"/>
    <tableColumn name="Project Folder Link" id="24"/>
    <tableColumn name="Remarks" id="25"/>
    <tableColumn name="Security Deposit Status" id="26"/>
    <tableColumn name="Security Deposit Type" id="27"/>
    <tableColumn name="Security Deposit No" id="28"/>
    <tableColumn name="Security Deposit Value" id="29"/>
    <tableColumn name="Security Deposit As on" id="30"/>
    <tableColumn name="Security Deposit Cleared Date" id="31"/>
  </tableColumns>
  <tableStyleInfo name="Tab 1 Project References-style" showColumnStripes="0" showFirstColumn="1" showLastColumn="1" showRowStripes="1"/>
</table>
</file>

<file path=xl/tables/table2.xml><?xml version="1.0" encoding="utf-8"?>
<table xmlns="http://schemas.openxmlformats.org/spreadsheetml/2006/main" ref="A1:L18" displayName="Company_Credentials" name="Company_Credentials" id="2">
  <tableColumns count="12">
    <tableColumn name="Sl No" id="1"/>
    <tableColumn name="Credential ID" id="2"/>
    <tableColumn name="Credential Name" id="3"/>
    <tableColumn name="Credential Type" id="4"/>
    <tableColumn name="Issuing Authority" id="5"/>
    <tableColumn name="Certificate No" id="6"/>
    <tableColumn name="Issue Date" id="7"/>
    <tableColumn name="Expiry Date" id="8"/>
    <tableColumn name="Status" id="9"/>
    <tableColumn name="Tender Relevance" id="10"/>
    <tableColumn name="File Link" id="11"/>
    <tableColumn name="Remarks" id="12"/>
  </tableColumns>
  <tableStyleInfo name="Tab 2 Company Credentials-style" showColumnStripes="0" showFirstColumn="1" showLastColumn="1" showRowStripes="1"/>
</table>
</file>

<file path=xl/tables/table3.xml><?xml version="1.0" encoding="utf-8"?>
<table xmlns="http://schemas.openxmlformats.org/spreadsheetml/2006/main" ref="A1:M7" displayName="Financial_Documents" name="Financial_Documents" id="1">
  <tableColumns count="13">
    <tableColumn name="Sl No" id="1"/>
    <tableColumn name="Financial ID" id="2"/>
    <tableColumn name="Financial Year" id="3"/>
    <tableColumn name="Annual Turnover (₹)" id="4"/>
    <tableColumn name="GST (₹)" id="5"/>
    <tableColumn name="Total Sales (₹)" id="6"/>
    <tableColumn name="Audit Status" id="7"/>
    <tableColumn name="Audited Balance Sheet Available" id="8"/>
    <tableColumn name="P&amp;L Statement Available" id="9"/>
    <tableColumn name="CA Turnover Certificate Available" id="10"/>
    <tableColumn name="IT Return Available" id="11"/>
    <tableColumn name="Folder Link" id="12"/>
    <tableColumn name="Remarks" id="13"/>
  </tableColumns>
  <tableStyleInfo name="Tab 3 Financial Documents-style" showColumnStripes="0" showFirstColumn="1" showLastColumn="1" showRowStripes="1"/>
</table>
</file>

<file path=xl/tables/table4.xml><?xml version="1.0" encoding="utf-8"?>
<table xmlns="http://schemas.openxmlformats.org/spreadsheetml/2006/main" ref="A1:T2" displayName="Tender_Qualification_Register" name="Tender_Qualification_Register" id="3">
  <tableColumns count="20">
    <tableColumn name="Sl No" id="1"/>
    <tableColumn name="Tender ID" id="2"/>
    <tableColumn name="Tender Name" id="3"/>
    <tableColumn name="Tender Authority" id="4"/>
    <tableColumn name="Department Type" id="5"/>
    <tableColumn name="Tender Value (Approx)" id="6"/>
    <tableColumn name="Bid Due Date" id="7"/>
    <tableColumn name="Solution Category" id="8"/>
    <tableColumn name="Eligibility Tags" id="9"/>
    <tableColumn name="Company Registration Status" id="10"/>
    <tableColumn name="Turnover Status" id="11"/>
    <tableColumn name="Experience Status" id="12"/>
    <tableColumn name="Certification Status" id="13"/>
    <tableColumn name="OEM / OSD Status" id="14"/>
    <tableColumn name="Overall Qualification" id="15"/>
    <tableColumn name="Decision" id="16"/>
    <tableColumn name="Project References" id="17"/>
    <tableColumn name="Credentials References" id="18"/>
    <tableColumn name="Financial References" id="19"/>
    <tableColumn name="Remarks" id="20"/>
  </tableColumns>
  <tableStyleInfo name="Tab 4 Tender_Qualification_Regi-style" showColumnStripes="0" showFirstColumn="1" showLastColumn="1" showRowStripes="1"/>
</table>
</file>

<file path=xl/tables/table5.xml><?xml version="1.0" encoding="utf-8"?>
<table xmlns="http://schemas.openxmlformats.org/spreadsheetml/2006/main" ref="A1:K11" displayName="Project_Quantity_Register" name="Project_Quantity_Register" id="5">
  <tableColumns count="11">
    <tableColumn name="Sl No" id="1"/>
    <tableColumn name="Quantity ID" id="2"/>
    <tableColumn name="Project ID" id="3"/>
    <tableColumn name="Project Name" id="4"/>
    <tableColumn name="Solution Category" id="5"/>
    <tableColumn name="Quantity Category" id="6"/>
    <tableColumn name="Quantity Executed" id="7"/>
    <tableColumn name="Unit" id="8"/>
    <tableColumn name="Customer" id="9"/>
    <tableColumn name="Certificate Available" id="10"/>
    <tableColumn name="Remarks" id="11"/>
  </tableColumns>
  <tableStyleInfo name="Tab 5 Project Quantity Regist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5.25"/>
    <col customWidth="1" min="2" max="2" width="12.75"/>
    <col customWidth="1" min="3" max="3" width="37.63"/>
    <col customWidth="1" min="4" max="4" width="31.5"/>
    <col customWidth="1" min="5" max="5" width="18.25"/>
    <col customWidth="1" min="6" max="6" width="20.13"/>
    <col customWidth="1" min="7" max="7" width="12.0"/>
    <col customWidth="1" min="8" max="8" width="24.13"/>
    <col customWidth="1" min="9" max="9" width="27.25"/>
    <col customWidth="1" min="10" max="10" width="37.63"/>
    <col customWidth="1" min="11" max="11" width="21.25"/>
    <col customWidth="1" min="12" max="12" width="26.0"/>
    <col customWidth="1" min="13" max="13" width="24.63"/>
    <col customWidth="1" min="14" max="14" width="15.88"/>
    <col customWidth="1" min="15" max="15" width="28.63"/>
    <col customWidth="1" min="16" max="16" width="22.25"/>
    <col customWidth="1" min="17" max="17" width="28.25"/>
    <col customWidth="1" min="18" max="18" width="17.0"/>
    <col customWidth="1" min="19" max="19" width="37.63"/>
    <col customWidth="1" min="20" max="20" width="23.75"/>
    <col customWidth="1" min="21" max="23" width="19.63"/>
    <col customWidth="1" min="24" max="24" width="19.25"/>
    <col customWidth="1" min="25" max="25" width="12.0"/>
    <col customWidth="1" min="26" max="26" width="26.38"/>
    <col customWidth="1" min="27" max="30" width="25.75"/>
    <col customWidth="1" min="31" max="31" width="31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10</v>
      </c>
      <c r="G1" s="1" t="s">
        <v>13</v>
      </c>
      <c r="H1" s="1" t="s">
        <v>15</v>
      </c>
      <c r="I1" s="1" t="s">
        <v>17</v>
      </c>
      <c r="J1" s="1" t="s">
        <v>20</v>
      </c>
      <c r="K1" s="1" t="s">
        <v>24</v>
      </c>
      <c r="L1" s="1" t="s">
        <v>27</v>
      </c>
      <c r="M1" s="1" t="s">
        <v>29</v>
      </c>
      <c r="N1" s="1" t="s">
        <v>8</v>
      </c>
      <c r="O1" s="1" t="s">
        <v>39</v>
      </c>
      <c r="P1" s="1" t="s">
        <v>42</v>
      </c>
      <c r="Q1" s="1" t="s">
        <v>44</v>
      </c>
      <c r="R1" s="1" t="s">
        <v>47</v>
      </c>
      <c r="S1" s="1" t="s">
        <v>49</v>
      </c>
      <c r="T1" s="1" t="s">
        <v>50</v>
      </c>
      <c r="U1" s="5" t="s">
        <v>53</v>
      </c>
      <c r="V1" s="5" t="s">
        <v>57</v>
      </c>
      <c r="W1" s="1" t="s">
        <v>59</v>
      </c>
      <c r="X1" s="1" t="s">
        <v>61</v>
      </c>
      <c r="Y1" s="1" t="s">
        <v>43</v>
      </c>
      <c r="Z1" s="8" t="s">
        <v>65</v>
      </c>
      <c r="AA1" s="8" t="s">
        <v>67</v>
      </c>
      <c r="AB1" s="8" t="s">
        <v>68</v>
      </c>
      <c r="AC1" s="8" t="s">
        <v>70</v>
      </c>
      <c r="AD1" s="8" t="s">
        <v>71</v>
      </c>
      <c r="AE1" s="8" t="s">
        <v>72</v>
      </c>
      <c r="AF1" s="10"/>
      <c r="AG1" s="10"/>
      <c r="AH1" s="10"/>
      <c r="AI1" s="10"/>
      <c r="AJ1" s="10"/>
    </row>
    <row r="2" ht="22.5" hidden="1" customHeight="1">
      <c r="A2" s="1">
        <v>1.0</v>
      </c>
      <c r="B2" s="4" t="s">
        <v>74</v>
      </c>
      <c r="C2" s="4" t="s">
        <v>76</v>
      </c>
      <c r="D2" s="4" t="s">
        <v>77</v>
      </c>
      <c r="E2" s="12" t="s">
        <v>80</v>
      </c>
      <c r="F2" s="7" t="s">
        <v>81</v>
      </c>
      <c r="G2" s="4" t="s">
        <v>82</v>
      </c>
      <c r="H2" s="7" t="s">
        <v>83</v>
      </c>
      <c r="I2" s="4" t="s">
        <v>85</v>
      </c>
      <c r="J2" s="12" t="s">
        <v>86</v>
      </c>
      <c r="K2" s="6">
        <v>5599146.6</v>
      </c>
      <c r="L2" s="7" t="s">
        <v>87</v>
      </c>
      <c r="M2" s="7" t="s">
        <v>79</v>
      </c>
      <c r="N2" s="4" t="s">
        <v>55</v>
      </c>
      <c r="O2" s="7" t="s">
        <v>79</v>
      </c>
      <c r="P2" s="7" t="s">
        <v>91</v>
      </c>
      <c r="Q2" s="4" t="s">
        <v>93</v>
      </c>
      <c r="R2" s="9">
        <v>44006.0</v>
      </c>
      <c r="S2" s="7" t="s">
        <v>79</v>
      </c>
      <c r="T2" s="6">
        <v>5599146.6</v>
      </c>
      <c r="U2" s="7" t="s">
        <v>95</v>
      </c>
      <c r="V2" s="7" t="s">
        <v>95</v>
      </c>
      <c r="W2" s="7" t="s">
        <v>97</v>
      </c>
      <c r="Z2" s="7" t="s">
        <v>98</v>
      </c>
      <c r="AA2" s="15"/>
      <c r="AB2" s="16"/>
      <c r="AC2" s="16"/>
      <c r="AD2" s="17"/>
      <c r="AE2" s="17"/>
    </row>
    <row r="3" ht="22.5" customHeight="1">
      <c r="A3" s="1">
        <v>2.0</v>
      </c>
      <c r="B3" s="4" t="s">
        <v>108</v>
      </c>
      <c r="C3" s="4" t="s">
        <v>109</v>
      </c>
      <c r="D3" s="4" t="s">
        <v>110</v>
      </c>
      <c r="E3" s="12" t="s">
        <v>111</v>
      </c>
      <c r="F3" s="7" t="s">
        <v>81</v>
      </c>
      <c r="G3" s="4" t="s">
        <v>112</v>
      </c>
      <c r="H3" s="7" t="s">
        <v>83</v>
      </c>
      <c r="I3" s="4" t="s">
        <v>114</v>
      </c>
      <c r="J3" s="12" t="s">
        <v>116</v>
      </c>
      <c r="K3" s="6">
        <v>7999220.0</v>
      </c>
      <c r="L3" s="7" t="s">
        <v>87</v>
      </c>
      <c r="M3" s="7" t="s">
        <v>79</v>
      </c>
      <c r="N3" s="4" t="s">
        <v>100</v>
      </c>
      <c r="O3" s="7" t="s">
        <v>79</v>
      </c>
      <c r="P3" s="7" t="s">
        <v>91</v>
      </c>
      <c r="Q3" s="4" t="s">
        <v>119</v>
      </c>
      <c r="R3" s="9">
        <v>44890.0</v>
      </c>
      <c r="S3" s="7" t="s">
        <v>79</v>
      </c>
      <c r="T3" s="6">
        <v>7999220.0</v>
      </c>
      <c r="U3" s="7" t="s">
        <v>95</v>
      </c>
      <c r="V3" s="7" t="s">
        <v>95</v>
      </c>
      <c r="W3" s="7" t="s">
        <v>97</v>
      </c>
      <c r="Z3" s="7" t="s">
        <v>98</v>
      </c>
      <c r="AA3" s="15"/>
      <c r="AB3" s="16"/>
      <c r="AC3" s="16"/>
      <c r="AD3" s="17"/>
      <c r="AE3" s="17"/>
    </row>
    <row r="4" ht="22.5" customHeight="1">
      <c r="A4" s="1">
        <v>3.0</v>
      </c>
      <c r="B4" s="4" t="s">
        <v>126</v>
      </c>
      <c r="C4" s="4" t="s">
        <v>128</v>
      </c>
      <c r="D4" s="4" t="s">
        <v>110</v>
      </c>
      <c r="E4" s="12" t="s">
        <v>111</v>
      </c>
      <c r="F4" s="7" t="s">
        <v>81</v>
      </c>
      <c r="G4" s="4" t="s">
        <v>112</v>
      </c>
      <c r="H4" s="7" t="s">
        <v>83</v>
      </c>
      <c r="I4" s="4" t="s">
        <v>114</v>
      </c>
      <c r="J4" s="12" t="s">
        <v>116</v>
      </c>
      <c r="K4" s="6">
        <v>2830000.0</v>
      </c>
      <c r="L4" s="7" t="s">
        <v>132</v>
      </c>
      <c r="M4" s="7" t="s">
        <v>79</v>
      </c>
      <c r="N4" s="4" t="s">
        <v>100</v>
      </c>
      <c r="O4" s="7" t="s">
        <v>79</v>
      </c>
      <c r="P4" s="7" t="s">
        <v>91</v>
      </c>
      <c r="Q4" s="4" t="s">
        <v>134</v>
      </c>
      <c r="R4" s="9">
        <v>44921.0</v>
      </c>
      <c r="S4" s="7" t="s">
        <v>79</v>
      </c>
      <c r="T4" s="6">
        <v>2830000.0</v>
      </c>
      <c r="U4" s="7" t="s">
        <v>95</v>
      </c>
      <c r="V4" s="7" t="s">
        <v>95</v>
      </c>
      <c r="W4" s="7" t="s">
        <v>97</v>
      </c>
      <c r="Z4" s="7" t="s">
        <v>98</v>
      </c>
      <c r="AA4" s="15"/>
      <c r="AB4" s="16"/>
      <c r="AC4" s="16"/>
      <c r="AD4" s="17"/>
      <c r="AE4" s="17"/>
    </row>
    <row r="5" ht="22.5" customHeight="1">
      <c r="A5" s="1">
        <v>4.0</v>
      </c>
      <c r="B5" s="4" t="s">
        <v>137</v>
      </c>
      <c r="C5" s="4" t="s">
        <v>138</v>
      </c>
      <c r="D5" s="4" t="s">
        <v>139</v>
      </c>
      <c r="E5" s="12" t="s">
        <v>80</v>
      </c>
      <c r="F5" s="7" t="s">
        <v>81</v>
      </c>
      <c r="G5" s="4" t="s">
        <v>140</v>
      </c>
      <c r="H5" s="7" t="s">
        <v>141</v>
      </c>
      <c r="I5" s="4" t="s">
        <v>143</v>
      </c>
      <c r="J5" s="12" t="s">
        <v>145</v>
      </c>
      <c r="K5" s="6">
        <v>8273552.0</v>
      </c>
      <c r="L5" s="7" t="s">
        <v>87</v>
      </c>
      <c r="M5" s="7" t="s">
        <v>79</v>
      </c>
      <c r="N5" s="4" t="s">
        <v>100</v>
      </c>
      <c r="O5" s="7" t="s">
        <v>79</v>
      </c>
      <c r="P5" s="7" t="s">
        <v>91</v>
      </c>
      <c r="Q5" s="4" t="s">
        <v>149</v>
      </c>
      <c r="R5" s="9">
        <v>44937.0</v>
      </c>
      <c r="S5" s="7" t="s">
        <v>79</v>
      </c>
      <c r="T5" s="6">
        <v>8273552.0</v>
      </c>
      <c r="U5" s="7" t="s">
        <v>95</v>
      </c>
      <c r="V5" s="7" t="s">
        <v>150</v>
      </c>
      <c r="W5" s="7" t="s">
        <v>97</v>
      </c>
      <c r="Z5" s="7" t="s">
        <v>151</v>
      </c>
      <c r="AA5" s="7" t="s">
        <v>152</v>
      </c>
      <c r="AB5" s="16"/>
      <c r="AC5" s="16"/>
      <c r="AD5" s="17"/>
      <c r="AE5" s="17"/>
    </row>
    <row r="6" ht="22.5" customHeight="1">
      <c r="A6" s="1">
        <v>5.0</v>
      </c>
      <c r="B6" s="4" t="s">
        <v>157</v>
      </c>
      <c r="C6" s="4" t="s">
        <v>158</v>
      </c>
      <c r="D6" s="4" t="s">
        <v>159</v>
      </c>
      <c r="E6" s="12" t="s">
        <v>80</v>
      </c>
      <c r="F6" s="7" t="s">
        <v>81</v>
      </c>
      <c r="G6" s="4" t="s">
        <v>160</v>
      </c>
      <c r="H6" s="7" t="s">
        <v>141</v>
      </c>
      <c r="I6" s="4" t="s">
        <v>161</v>
      </c>
      <c r="J6" s="12" t="s">
        <v>116</v>
      </c>
      <c r="K6" s="6">
        <v>3.5799E7</v>
      </c>
      <c r="L6" s="7" t="s">
        <v>164</v>
      </c>
      <c r="M6" s="7" t="s">
        <v>79</v>
      </c>
      <c r="N6" s="4" t="s">
        <v>121</v>
      </c>
      <c r="O6" s="7" t="s">
        <v>79</v>
      </c>
      <c r="P6" s="7" t="s">
        <v>168</v>
      </c>
      <c r="Q6" s="4" t="s">
        <v>169</v>
      </c>
      <c r="R6" s="9">
        <v>45366.0</v>
      </c>
      <c r="S6" s="7" t="s">
        <v>79</v>
      </c>
      <c r="T6" s="6">
        <v>3.5799E7</v>
      </c>
      <c r="U6" s="7" t="s">
        <v>95</v>
      </c>
      <c r="V6" s="7" t="s">
        <v>150</v>
      </c>
      <c r="W6" s="7" t="s">
        <v>171</v>
      </c>
      <c r="Z6" s="7" t="s">
        <v>172</v>
      </c>
      <c r="AA6" s="7" t="s">
        <v>152</v>
      </c>
      <c r="AB6" s="6" t="s">
        <v>173</v>
      </c>
      <c r="AC6" s="6">
        <v>1789950.0</v>
      </c>
      <c r="AD6" s="9">
        <v>46461.0</v>
      </c>
      <c r="AE6" s="17"/>
    </row>
    <row r="7" ht="22.5" customHeight="1">
      <c r="A7" s="1">
        <v>6.0</v>
      </c>
      <c r="B7" s="4" t="s">
        <v>178</v>
      </c>
      <c r="C7" s="4" t="s">
        <v>181</v>
      </c>
      <c r="D7" s="4" t="s">
        <v>159</v>
      </c>
      <c r="E7" s="12" t="s">
        <v>80</v>
      </c>
      <c r="F7" s="7" t="s">
        <v>81</v>
      </c>
      <c r="G7" s="4" t="s">
        <v>160</v>
      </c>
      <c r="H7" s="7" t="s">
        <v>183</v>
      </c>
      <c r="I7" s="4" t="s">
        <v>185</v>
      </c>
      <c r="J7" s="12" t="s">
        <v>186</v>
      </c>
      <c r="K7" s="6">
        <v>1.49996E7</v>
      </c>
      <c r="L7" s="7" t="s">
        <v>189</v>
      </c>
      <c r="M7" s="7" t="s">
        <v>79</v>
      </c>
      <c r="N7" s="4" t="s">
        <v>121</v>
      </c>
      <c r="O7" s="7" t="s">
        <v>79</v>
      </c>
      <c r="P7" s="7" t="s">
        <v>191</v>
      </c>
      <c r="Q7" s="4" t="s">
        <v>192</v>
      </c>
      <c r="R7" s="9">
        <v>45366.0</v>
      </c>
      <c r="S7" s="7" t="s">
        <v>79</v>
      </c>
      <c r="T7" s="6">
        <v>1.49996E7</v>
      </c>
      <c r="U7" s="7" t="s">
        <v>95</v>
      </c>
      <c r="V7" s="7" t="s">
        <v>150</v>
      </c>
      <c r="W7" s="7" t="s">
        <v>97</v>
      </c>
      <c r="Z7" s="7" t="s">
        <v>172</v>
      </c>
      <c r="AA7" s="7" t="s">
        <v>152</v>
      </c>
      <c r="AB7" s="6" t="s">
        <v>198</v>
      </c>
      <c r="AC7" s="6">
        <v>749980.0</v>
      </c>
      <c r="AD7" s="9">
        <v>46461.0</v>
      </c>
      <c r="AE7" s="17"/>
    </row>
    <row r="8" ht="22.5" customHeight="1">
      <c r="A8" s="1">
        <v>7.0</v>
      </c>
      <c r="B8" s="4" t="s">
        <v>207</v>
      </c>
      <c r="C8" s="4" t="s">
        <v>209</v>
      </c>
      <c r="D8" s="4" t="s">
        <v>159</v>
      </c>
      <c r="E8" s="12" t="s">
        <v>80</v>
      </c>
      <c r="F8" s="7" t="s">
        <v>81</v>
      </c>
      <c r="G8" s="4" t="s">
        <v>160</v>
      </c>
      <c r="H8" s="7" t="s">
        <v>83</v>
      </c>
      <c r="I8" s="4" t="s">
        <v>211</v>
      </c>
      <c r="J8" s="12" t="s">
        <v>186</v>
      </c>
      <c r="K8" s="6">
        <v>4999950.0</v>
      </c>
      <c r="L8" s="7" t="s">
        <v>132</v>
      </c>
      <c r="M8" s="7" t="s">
        <v>79</v>
      </c>
      <c r="N8" s="4" t="s">
        <v>121</v>
      </c>
      <c r="O8" s="7" t="s">
        <v>79</v>
      </c>
      <c r="P8" s="7" t="s">
        <v>168</v>
      </c>
      <c r="Q8" s="4" t="s">
        <v>216</v>
      </c>
      <c r="R8" s="9">
        <v>45367.0</v>
      </c>
      <c r="S8" s="7" t="s">
        <v>79</v>
      </c>
      <c r="T8" s="6">
        <v>4999950.0</v>
      </c>
      <c r="U8" s="7" t="s">
        <v>95</v>
      </c>
      <c r="V8" s="7" t="s">
        <v>150</v>
      </c>
      <c r="W8" s="7" t="s">
        <v>97</v>
      </c>
      <c r="Z8" s="7" t="s">
        <v>172</v>
      </c>
      <c r="AA8" s="7" t="s">
        <v>152</v>
      </c>
      <c r="AB8" s="6" t="s">
        <v>219</v>
      </c>
      <c r="AC8" s="6">
        <v>249998.0</v>
      </c>
      <c r="AD8" s="9">
        <v>46461.0</v>
      </c>
      <c r="AE8" s="17"/>
    </row>
    <row r="9" ht="22.5" customHeight="1">
      <c r="A9" s="1">
        <v>8.0</v>
      </c>
      <c r="B9" s="4" t="s">
        <v>229</v>
      </c>
      <c r="C9" s="4" t="s">
        <v>230</v>
      </c>
      <c r="D9" s="4" t="s">
        <v>232</v>
      </c>
      <c r="E9" s="12" t="s">
        <v>80</v>
      </c>
      <c r="F9" s="7" t="s">
        <v>81</v>
      </c>
      <c r="G9" s="4" t="s">
        <v>160</v>
      </c>
      <c r="H9" s="7" t="s">
        <v>235</v>
      </c>
      <c r="I9" s="4" t="s">
        <v>236</v>
      </c>
      <c r="J9" s="12" t="s">
        <v>237</v>
      </c>
      <c r="K9" s="6">
        <v>481500.0</v>
      </c>
      <c r="L9" s="7" t="s">
        <v>132</v>
      </c>
      <c r="M9" s="7" t="s">
        <v>79</v>
      </c>
      <c r="N9" s="4" t="s">
        <v>121</v>
      </c>
      <c r="O9" s="7" t="s">
        <v>79</v>
      </c>
      <c r="P9" s="7" t="s">
        <v>91</v>
      </c>
      <c r="Q9" s="4" t="s">
        <v>238</v>
      </c>
      <c r="R9" s="9">
        <v>45466.0</v>
      </c>
      <c r="S9" s="7" t="s">
        <v>131</v>
      </c>
      <c r="T9" s="6"/>
      <c r="U9" s="7" t="s">
        <v>95</v>
      </c>
      <c r="V9" s="7" t="s">
        <v>95</v>
      </c>
      <c r="W9" s="7" t="s">
        <v>241</v>
      </c>
      <c r="Z9" s="7" t="s">
        <v>98</v>
      </c>
      <c r="AA9" s="15"/>
      <c r="AB9" s="16"/>
      <c r="AC9" s="16"/>
      <c r="AD9" s="17"/>
      <c r="AE9" s="17"/>
    </row>
    <row r="10" ht="22.5" customHeight="1">
      <c r="A10" s="1">
        <v>9.0</v>
      </c>
      <c r="B10" s="4" t="s">
        <v>246</v>
      </c>
      <c r="C10" s="4" t="s">
        <v>247</v>
      </c>
      <c r="D10" s="4" t="s">
        <v>248</v>
      </c>
      <c r="E10" s="12" t="s">
        <v>249</v>
      </c>
      <c r="F10" s="7" t="s">
        <v>81</v>
      </c>
      <c r="G10" s="4" t="s">
        <v>160</v>
      </c>
      <c r="H10" s="7" t="s">
        <v>141</v>
      </c>
      <c r="I10" s="4" t="s">
        <v>161</v>
      </c>
      <c r="J10" s="12" t="s">
        <v>116</v>
      </c>
      <c r="K10" s="6">
        <v>2.35E7</v>
      </c>
      <c r="L10" s="7" t="s">
        <v>164</v>
      </c>
      <c r="M10" s="7" t="s">
        <v>79</v>
      </c>
      <c r="N10" s="4" t="s">
        <v>121</v>
      </c>
      <c r="O10" s="7" t="s">
        <v>79</v>
      </c>
      <c r="P10" s="7" t="s">
        <v>91</v>
      </c>
      <c r="Q10" s="4" t="s">
        <v>251</v>
      </c>
      <c r="R10" s="9">
        <v>45539.0</v>
      </c>
      <c r="S10" s="7" t="s">
        <v>253</v>
      </c>
      <c r="T10" s="6"/>
      <c r="U10" s="7" t="s">
        <v>95</v>
      </c>
      <c r="V10" s="7" t="s">
        <v>150</v>
      </c>
      <c r="W10" s="7" t="s">
        <v>171</v>
      </c>
      <c r="Z10" s="7" t="s">
        <v>172</v>
      </c>
      <c r="AA10" s="7" t="s">
        <v>257</v>
      </c>
      <c r="AB10" s="6" t="s">
        <v>258</v>
      </c>
      <c r="AC10" s="6">
        <v>1175000.0</v>
      </c>
      <c r="AD10" s="17"/>
      <c r="AE10" s="17"/>
    </row>
    <row r="11" ht="22.5" customHeight="1">
      <c r="A11" s="1">
        <v>10.0</v>
      </c>
      <c r="B11" s="4" t="s">
        <v>261</v>
      </c>
      <c r="C11" s="4" t="s">
        <v>262</v>
      </c>
      <c r="D11" s="4" t="s">
        <v>263</v>
      </c>
      <c r="E11" s="12" t="s">
        <v>80</v>
      </c>
      <c r="F11" s="7" t="s">
        <v>81</v>
      </c>
      <c r="G11" s="4" t="s">
        <v>264</v>
      </c>
      <c r="H11" s="7" t="s">
        <v>83</v>
      </c>
      <c r="I11" s="4" t="s">
        <v>265</v>
      </c>
      <c r="J11" s="12" t="s">
        <v>266</v>
      </c>
      <c r="K11" s="6">
        <v>9997000.0</v>
      </c>
      <c r="L11" s="7" t="s">
        <v>87</v>
      </c>
      <c r="M11" s="7" t="s">
        <v>79</v>
      </c>
      <c r="N11" s="4" t="s">
        <v>121</v>
      </c>
      <c r="O11" s="7" t="s">
        <v>79</v>
      </c>
      <c r="P11" s="7" t="s">
        <v>91</v>
      </c>
      <c r="Q11" s="4" t="s">
        <v>268</v>
      </c>
      <c r="R11" s="9">
        <v>45624.0</v>
      </c>
      <c r="S11" s="7" t="s">
        <v>79</v>
      </c>
      <c r="T11" s="6">
        <v>9997000.0</v>
      </c>
      <c r="U11" s="7" t="s">
        <v>95</v>
      </c>
      <c r="V11" s="7" t="s">
        <v>150</v>
      </c>
      <c r="W11" s="7" t="s">
        <v>97</v>
      </c>
      <c r="Z11" s="7" t="s">
        <v>172</v>
      </c>
      <c r="AA11" s="7" t="s">
        <v>152</v>
      </c>
      <c r="AB11" s="6" t="s">
        <v>269</v>
      </c>
      <c r="AC11" s="6">
        <v>500000.0</v>
      </c>
      <c r="AD11" s="9">
        <v>46351.0</v>
      </c>
      <c r="AE11" s="17"/>
    </row>
    <row r="12" ht="22.5" customHeight="1">
      <c r="A12" s="1">
        <v>11.0</v>
      </c>
      <c r="B12" s="4" t="s">
        <v>227</v>
      </c>
      <c r="C12" s="4" t="s">
        <v>272</v>
      </c>
      <c r="D12" s="4" t="s">
        <v>159</v>
      </c>
      <c r="E12" s="12" t="s">
        <v>80</v>
      </c>
      <c r="F12" s="7" t="s">
        <v>81</v>
      </c>
      <c r="G12" s="4" t="s">
        <v>160</v>
      </c>
      <c r="H12" s="7" t="s">
        <v>183</v>
      </c>
      <c r="I12" s="4" t="s">
        <v>273</v>
      </c>
      <c r="J12" s="12" t="s">
        <v>186</v>
      </c>
      <c r="K12" s="6">
        <v>6600000.0</v>
      </c>
      <c r="L12" s="7" t="s">
        <v>87</v>
      </c>
      <c r="M12" s="7" t="s">
        <v>79</v>
      </c>
      <c r="N12" s="4" t="s">
        <v>121</v>
      </c>
      <c r="O12" s="7" t="s">
        <v>79</v>
      </c>
      <c r="P12" s="7" t="s">
        <v>168</v>
      </c>
      <c r="Q12" s="4" t="s">
        <v>275</v>
      </c>
      <c r="R12" s="9">
        <v>45744.0</v>
      </c>
      <c r="S12" s="7" t="s">
        <v>79</v>
      </c>
      <c r="T12" s="6">
        <v>6562874.0</v>
      </c>
      <c r="U12" s="7" t="s">
        <v>95</v>
      </c>
      <c r="V12" s="7" t="s">
        <v>150</v>
      </c>
      <c r="W12" s="7" t="s">
        <v>97</v>
      </c>
      <c r="Z12" s="7" t="s">
        <v>172</v>
      </c>
      <c r="AA12" s="7" t="s">
        <v>277</v>
      </c>
      <c r="AB12" s="6" t="s">
        <v>278</v>
      </c>
      <c r="AC12" s="6">
        <v>330000.0</v>
      </c>
      <c r="AD12" s="9">
        <v>46832.0</v>
      </c>
      <c r="AE12" s="17"/>
    </row>
    <row r="13" ht="22.5" customHeight="1">
      <c r="A13" s="1">
        <v>12.0</v>
      </c>
      <c r="B13" s="4" t="s">
        <v>244</v>
      </c>
      <c r="C13" s="4" t="s">
        <v>228</v>
      </c>
      <c r="D13" s="4" t="s">
        <v>159</v>
      </c>
      <c r="E13" s="12" t="s">
        <v>80</v>
      </c>
      <c r="F13" s="7" t="s">
        <v>81</v>
      </c>
      <c r="G13" s="4" t="s">
        <v>160</v>
      </c>
      <c r="H13" s="7" t="s">
        <v>231</v>
      </c>
      <c r="I13" s="4" t="s">
        <v>283</v>
      </c>
      <c r="J13" s="12" t="s">
        <v>285</v>
      </c>
      <c r="K13" s="6">
        <v>1.099541E7</v>
      </c>
      <c r="L13" s="7" t="s">
        <v>189</v>
      </c>
      <c r="M13" s="7" t="s">
        <v>79</v>
      </c>
      <c r="N13" s="4" t="s">
        <v>129</v>
      </c>
      <c r="O13" s="7" t="s">
        <v>79</v>
      </c>
      <c r="P13" s="7" t="s">
        <v>168</v>
      </c>
      <c r="Q13" s="4" t="s">
        <v>286</v>
      </c>
      <c r="R13" s="9">
        <v>45803.0</v>
      </c>
      <c r="S13" s="7" t="s">
        <v>79</v>
      </c>
      <c r="T13" s="6">
        <v>1.099541E7</v>
      </c>
      <c r="U13" s="7" t="s">
        <v>95</v>
      </c>
      <c r="V13" s="7" t="s">
        <v>150</v>
      </c>
      <c r="W13" s="7" t="s">
        <v>171</v>
      </c>
      <c r="X13" s="21" t="str">
        <f>HYPERLINK("https://drive.google.com/drive/folders/11NGF6OIk5Xan0PRm9fQqA5n61jHtFPQF?usp=drive_link",B13)</f>
        <v>CS-2025-002</v>
      </c>
      <c r="Z13" s="7" t="s">
        <v>172</v>
      </c>
      <c r="AA13" s="7" t="s">
        <v>277</v>
      </c>
      <c r="AB13" s="6" t="s">
        <v>287</v>
      </c>
      <c r="AC13" s="6">
        <v>549771.0</v>
      </c>
      <c r="AD13" s="9">
        <v>47057.0</v>
      </c>
      <c r="AE13" s="17"/>
    </row>
    <row r="14" ht="22.5" customHeight="1">
      <c r="A14" s="1">
        <v>13.0</v>
      </c>
      <c r="B14" s="4" t="s">
        <v>254</v>
      </c>
      <c r="C14" s="4" t="s">
        <v>288</v>
      </c>
      <c r="D14" s="4" t="s">
        <v>289</v>
      </c>
      <c r="E14" s="12" t="s">
        <v>80</v>
      </c>
      <c r="F14" s="7" t="s">
        <v>81</v>
      </c>
      <c r="G14" s="4" t="s">
        <v>290</v>
      </c>
      <c r="H14" s="7" t="s">
        <v>83</v>
      </c>
      <c r="I14" s="4" t="s">
        <v>291</v>
      </c>
      <c r="J14" s="12" t="s">
        <v>266</v>
      </c>
      <c r="K14" s="6">
        <v>9496773.0</v>
      </c>
      <c r="L14" s="7" t="s">
        <v>87</v>
      </c>
      <c r="M14" s="7" t="s">
        <v>79</v>
      </c>
      <c r="N14" s="4" t="s">
        <v>129</v>
      </c>
      <c r="O14" s="7" t="s">
        <v>79</v>
      </c>
      <c r="P14" s="7" t="s">
        <v>91</v>
      </c>
      <c r="Q14" s="4" t="s">
        <v>292</v>
      </c>
      <c r="R14" s="9">
        <v>45813.0</v>
      </c>
      <c r="S14" s="7" t="s">
        <v>79</v>
      </c>
      <c r="T14" s="6">
        <v>9496773.0</v>
      </c>
      <c r="U14" s="7" t="s">
        <v>95</v>
      </c>
      <c r="V14" s="7" t="s">
        <v>150</v>
      </c>
      <c r="W14" s="7" t="s">
        <v>171</v>
      </c>
      <c r="Z14" s="7" t="s">
        <v>172</v>
      </c>
      <c r="AA14" s="7" t="s">
        <v>277</v>
      </c>
      <c r="AB14" s="16"/>
      <c r="AC14" s="16"/>
      <c r="AD14" s="17"/>
      <c r="AE14" s="17"/>
    </row>
    <row r="15" ht="22.5" customHeight="1">
      <c r="A15" s="1">
        <v>14.0</v>
      </c>
      <c r="B15" s="4" t="s">
        <v>293</v>
      </c>
      <c r="C15" s="4" t="s">
        <v>245</v>
      </c>
      <c r="D15" s="4" t="s">
        <v>159</v>
      </c>
      <c r="E15" s="12" t="s">
        <v>80</v>
      </c>
      <c r="F15" s="7" t="s">
        <v>81</v>
      </c>
      <c r="G15" s="4" t="s">
        <v>160</v>
      </c>
      <c r="H15" s="7" t="s">
        <v>83</v>
      </c>
      <c r="I15" s="4" t="s">
        <v>294</v>
      </c>
      <c r="J15" s="12" t="s">
        <v>295</v>
      </c>
      <c r="K15" s="6">
        <v>1.7496E7</v>
      </c>
      <c r="L15" s="7" t="s">
        <v>189</v>
      </c>
      <c r="M15" s="7" t="s">
        <v>79</v>
      </c>
      <c r="N15" s="4" t="s">
        <v>129</v>
      </c>
      <c r="O15" s="7" t="s">
        <v>79</v>
      </c>
      <c r="P15" s="7" t="s">
        <v>168</v>
      </c>
      <c r="Q15" s="4" t="s">
        <v>296</v>
      </c>
      <c r="R15" s="9">
        <v>45834.0</v>
      </c>
      <c r="S15" s="7" t="s">
        <v>79</v>
      </c>
      <c r="T15" s="6">
        <v>1.7496E7</v>
      </c>
      <c r="U15" s="7" t="s">
        <v>95</v>
      </c>
      <c r="V15" s="7" t="s">
        <v>150</v>
      </c>
      <c r="W15" s="7" t="s">
        <v>171</v>
      </c>
      <c r="Z15" s="7" t="s">
        <v>172</v>
      </c>
      <c r="AA15" s="7" t="s">
        <v>277</v>
      </c>
      <c r="AB15" s="6" t="s">
        <v>297</v>
      </c>
      <c r="AC15" s="6">
        <v>874800.0</v>
      </c>
      <c r="AD15" s="9">
        <v>47057.0</v>
      </c>
      <c r="AE15" s="17"/>
    </row>
    <row r="16" ht="22.5" customHeight="1">
      <c r="A16" s="1">
        <v>15.0</v>
      </c>
      <c r="B16" s="4" t="s">
        <v>298</v>
      </c>
      <c r="C16" s="4" t="s">
        <v>299</v>
      </c>
      <c r="D16" s="4" t="s">
        <v>159</v>
      </c>
      <c r="E16" s="12" t="s">
        <v>80</v>
      </c>
      <c r="F16" s="7" t="s">
        <v>81</v>
      </c>
      <c r="G16" s="4" t="s">
        <v>160</v>
      </c>
      <c r="H16" s="7" t="s">
        <v>231</v>
      </c>
      <c r="I16" s="4" t="s">
        <v>300</v>
      </c>
      <c r="J16" s="12" t="s">
        <v>116</v>
      </c>
      <c r="K16" s="6">
        <v>2996150.0</v>
      </c>
      <c r="L16" s="7" t="s">
        <v>132</v>
      </c>
      <c r="M16" s="7" t="s">
        <v>79</v>
      </c>
      <c r="N16" s="4" t="s">
        <v>129</v>
      </c>
      <c r="O16" s="7" t="s">
        <v>79</v>
      </c>
      <c r="P16" s="7" t="s">
        <v>168</v>
      </c>
      <c r="Q16" s="4" t="s">
        <v>301</v>
      </c>
      <c r="R16" s="9">
        <v>45834.0</v>
      </c>
      <c r="S16" s="7" t="s">
        <v>302</v>
      </c>
      <c r="T16" s="6"/>
      <c r="U16" s="7" t="s">
        <v>95</v>
      </c>
      <c r="V16" s="7" t="s">
        <v>150</v>
      </c>
      <c r="W16" s="7" t="s">
        <v>171</v>
      </c>
      <c r="Z16" s="7" t="s">
        <v>172</v>
      </c>
      <c r="AA16" s="7" t="s">
        <v>277</v>
      </c>
      <c r="AB16" s="6" t="s">
        <v>303</v>
      </c>
      <c r="AC16" s="6">
        <v>150000.0</v>
      </c>
      <c r="AD16" s="9">
        <v>47036.0</v>
      </c>
      <c r="AE16" s="17"/>
    </row>
    <row r="17" ht="22.5" customHeight="1">
      <c r="A17" s="1">
        <v>16.0</v>
      </c>
      <c r="B17" s="4" t="s">
        <v>304</v>
      </c>
      <c r="C17" s="4" t="s">
        <v>305</v>
      </c>
      <c r="D17" s="4" t="s">
        <v>259</v>
      </c>
      <c r="E17" s="12" t="s">
        <v>80</v>
      </c>
      <c r="F17" s="7" t="s">
        <v>81</v>
      </c>
      <c r="G17" s="4" t="s">
        <v>306</v>
      </c>
      <c r="H17" s="7" t="s">
        <v>83</v>
      </c>
      <c r="I17" s="4" t="s">
        <v>307</v>
      </c>
      <c r="J17" s="12" t="s">
        <v>307</v>
      </c>
      <c r="K17" s="6">
        <v>3150000.0</v>
      </c>
      <c r="L17" s="7" t="s">
        <v>132</v>
      </c>
      <c r="M17" s="7" t="s">
        <v>79</v>
      </c>
      <c r="N17" s="4" t="s">
        <v>129</v>
      </c>
      <c r="O17" s="7" t="s">
        <v>79</v>
      </c>
      <c r="P17" s="7" t="s">
        <v>168</v>
      </c>
      <c r="Q17" s="4" t="s">
        <v>308</v>
      </c>
      <c r="R17" s="9">
        <v>46011.0</v>
      </c>
      <c r="S17" s="7" t="s">
        <v>302</v>
      </c>
      <c r="T17" s="6"/>
      <c r="U17" s="7" t="s">
        <v>309</v>
      </c>
      <c r="V17" s="7" t="s">
        <v>150</v>
      </c>
      <c r="W17" s="7" t="s">
        <v>241</v>
      </c>
      <c r="Z17" s="7" t="s">
        <v>172</v>
      </c>
      <c r="AA17" s="7" t="s">
        <v>277</v>
      </c>
      <c r="AB17" s="6" t="s">
        <v>310</v>
      </c>
      <c r="AC17" s="6">
        <v>157500.0</v>
      </c>
      <c r="AD17" s="9">
        <v>46752.0</v>
      </c>
      <c r="AE17" s="17"/>
    </row>
    <row r="18" ht="22.5" customHeight="1">
      <c r="A18" s="1">
        <v>17.0</v>
      </c>
      <c r="B18" s="4" t="s">
        <v>311</v>
      </c>
      <c r="C18" s="4" t="s">
        <v>255</v>
      </c>
      <c r="D18" s="4" t="s">
        <v>259</v>
      </c>
      <c r="E18" s="12" t="s">
        <v>80</v>
      </c>
      <c r="F18" s="7" t="s">
        <v>81</v>
      </c>
      <c r="G18" s="4" t="s">
        <v>306</v>
      </c>
      <c r="H18" s="7" t="s">
        <v>141</v>
      </c>
      <c r="I18" s="4" t="s">
        <v>312</v>
      </c>
      <c r="J18" s="12" t="s">
        <v>313</v>
      </c>
      <c r="K18" s="6">
        <v>5256250.0</v>
      </c>
      <c r="L18" s="7" t="s">
        <v>87</v>
      </c>
      <c r="M18" s="7" t="s">
        <v>79</v>
      </c>
      <c r="N18" s="4" t="s">
        <v>129</v>
      </c>
      <c r="O18" s="7" t="s">
        <v>79</v>
      </c>
      <c r="P18" s="7" t="s">
        <v>168</v>
      </c>
      <c r="Q18" s="4" t="s">
        <v>314</v>
      </c>
      <c r="R18" s="9">
        <v>46012.0</v>
      </c>
      <c r="S18" s="7" t="s">
        <v>79</v>
      </c>
      <c r="T18" s="6">
        <v>5256250.0</v>
      </c>
      <c r="U18" s="7" t="s">
        <v>95</v>
      </c>
      <c r="V18" s="7" t="s">
        <v>150</v>
      </c>
      <c r="W18" s="7" t="s">
        <v>171</v>
      </c>
      <c r="Z18" s="7" t="s">
        <v>172</v>
      </c>
      <c r="AA18" s="7" t="s">
        <v>277</v>
      </c>
      <c r="AB18" s="6" t="s">
        <v>315</v>
      </c>
      <c r="AC18" s="6">
        <v>265000.0</v>
      </c>
      <c r="AD18" s="9">
        <v>47118.0</v>
      </c>
      <c r="AE18" s="17"/>
    </row>
    <row r="19" ht="22.5" customHeight="1">
      <c r="A19" s="1">
        <v>18.0</v>
      </c>
      <c r="B19" s="4" t="s">
        <v>316</v>
      </c>
      <c r="C19" s="4" t="s">
        <v>317</v>
      </c>
      <c r="D19" s="4" t="s">
        <v>289</v>
      </c>
      <c r="E19" s="12" t="s">
        <v>80</v>
      </c>
      <c r="F19" s="7" t="s">
        <v>81</v>
      </c>
      <c r="G19" s="4" t="s">
        <v>290</v>
      </c>
      <c r="H19" s="7" t="s">
        <v>83</v>
      </c>
      <c r="I19" s="4" t="s">
        <v>291</v>
      </c>
      <c r="J19" s="12" t="s">
        <v>266</v>
      </c>
      <c r="K19" s="6">
        <v>7998500.0</v>
      </c>
      <c r="L19" s="7" t="s">
        <v>87</v>
      </c>
      <c r="M19" s="7" t="s">
        <v>79</v>
      </c>
      <c r="N19" s="4" t="s">
        <v>129</v>
      </c>
      <c r="O19" s="7" t="s">
        <v>79</v>
      </c>
      <c r="P19" s="7" t="s">
        <v>91</v>
      </c>
      <c r="Q19" s="4" t="s">
        <v>292</v>
      </c>
      <c r="R19" s="9">
        <v>46024.0</v>
      </c>
      <c r="S19" s="7" t="s">
        <v>79</v>
      </c>
      <c r="T19" s="6">
        <v>7998500.0</v>
      </c>
      <c r="U19" s="7" t="s">
        <v>95</v>
      </c>
      <c r="V19" s="7" t="s">
        <v>150</v>
      </c>
      <c r="W19" s="7" t="s">
        <v>171</v>
      </c>
      <c r="Z19" s="7" t="s">
        <v>98</v>
      </c>
      <c r="AA19" s="15"/>
      <c r="AB19" s="16"/>
      <c r="AC19" s="16"/>
      <c r="AD19" s="17"/>
      <c r="AE19" s="17"/>
    </row>
    <row r="20" ht="22.5" customHeight="1">
      <c r="A20" s="1">
        <v>19.0</v>
      </c>
      <c r="B20" s="4" t="s">
        <v>318</v>
      </c>
      <c r="C20" s="4" t="s">
        <v>319</v>
      </c>
      <c r="D20" s="4" t="s">
        <v>320</v>
      </c>
      <c r="E20" s="12" t="s">
        <v>111</v>
      </c>
      <c r="F20" s="7" t="s">
        <v>81</v>
      </c>
      <c r="G20" s="4" t="s">
        <v>306</v>
      </c>
      <c r="H20" s="7" t="s">
        <v>141</v>
      </c>
      <c r="I20" s="4" t="s">
        <v>312</v>
      </c>
      <c r="J20" s="12" t="s">
        <v>313</v>
      </c>
      <c r="K20" s="6">
        <v>2.9996268E7</v>
      </c>
      <c r="L20" s="7" t="s">
        <v>164</v>
      </c>
      <c r="M20" s="7" t="s">
        <v>79</v>
      </c>
      <c r="N20" s="4" t="s">
        <v>129</v>
      </c>
      <c r="O20" s="7" t="s">
        <v>79</v>
      </c>
      <c r="P20" s="7" t="s">
        <v>91</v>
      </c>
      <c r="Q20" s="4" t="s">
        <v>321</v>
      </c>
      <c r="R20" s="9">
        <v>46035.0</v>
      </c>
      <c r="S20" s="7" t="s">
        <v>302</v>
      </c>
      <c r="T20" s="6"/>
      <c r="U20" s="7" t="s">
        <v>322</v>
      </c>
      <c r="V20" s="7" t="s">
        <v>150</v>
      </c>
      <c r="W20" s="7" t="s">
        <v>97</v>
      </c>
      <c r="Z20" s="7" t="s">
        <v>172</v>
      </c>
      <c r="AA20" s="7" t="s">
        <v>277</v>
      </c>
      <c r="AB20" s="6" t="s">
        <v>323</v>
      </c>
      <c r="AC20" s="6">
        <v>1272000.0</v>
      </c>
      <c r="AD20" s="9">
        <v>11489.0</v>
      </c>
      <c r="AE20" s="17"/>
    </row>
    <row r="21" ht="22.5" customHeight="1">
      <c r="A21" s="1">
        <v>20.0</v>
      </c>
      <c r="B21" s="4" t="s">
        <v>324</v>
      </c>
      <c r="C21" s="4" t="s">
        <v>325</v>
      </c>
      <c r="D21" s="4" t="s">
        <v>326</v>
      </c>
      <c r="E21" s="12" t="s">
        <v>80</v>
      </c>
      <c r="F21" s="7" t="s">
        <v>81</v>
      </c>
      <c r="G21" s="4" t="s">
        <v>327</v>
      </c>
      <c r="H21" s="7" t="s">
        <v>83</v>
      </c>
      <c r="I21" s="4" t="s">
        <v>328</v>
      </c>
      <c r="J21" s="12" t="s">
        <v>329</v>
      </c>
      <c r="K21" s="6">
        <v>2310000.0</v>
      </c>
      <c r="L21" s="7" t="s">
        <v>132</v>
      </c>
      <c r="M21" s="7" t="s">
        <v>79</v>
      </c>
      <c r="N21" s="4" t="s">
        <v>129</v>
      </c>
      <c r="O21" s="7" t="s">
        <v>79</v>
      </c>
      <c r="P21" s="7" t="s">
        <v>168</v>
      </c>
      <c r="Q21" s="4" t="s">
        <v>330</v>
      </c>
      <c r="R21" s="9">
        <v>46073.0</v>
      </c>
      <c r="S21" s="7" t="s">
        <v>253</v>
      </c>
      <c r="T21" s="6"/>
      <c r="U21" s="7" t="s">
        <v>95</v>
      </c>
      <c r="V21" s="7" t="s">
        <v>150</v>
      </c>
      <c r="W21" s="7" t="s">
        <v>97</v>
      </c>
      <c r="Z21" s="7" t="s">
        <v>172</v>
      </c>
      <c r="AA21" s="7" t="s">
        <v>277</v>
      </c>
      <c r="AB21" s="6" t="s">
        <v>331</v>
      </c>
      <c r="AC21" s="6">
        <v>115500.0</v>
      </c>
      <c r="AD21" s="9">
        <v>47170.0</v>
      </c>
      <c r="AE21" s="17"/>
    </row>
    <row r="22">
      <c r="A22" s="10"/>
    </row>
    <row r="23">
      <c r="A23" s="10"/>
    </row>
    <row r="24">
      <c r="A24" s="10"/>
    </row>
    <row r="25">
      <c r="A25" s="10"/>
    </row>
    <row r="26">
      <c r="A26" s="10"/>
    </row>
    <row r="27">
      <c r="A27" s="10"/>
    </row>
    <row r="28">
      <c r="A28" s="10"/>
    </row>
    <row r="29">
      <c r="A29" s="10"/>
    </row>
    <row r="30">
      <c r="A30" s="10"/>
    </row>
    <row r="31">
      <c r="A31" s="10"/>
    </row>
    <row r="32">
      <c r="A32" s="10"/>
    </row>
    <row r="33">
      <c r="A33" s="10"/>
    </row>
    <row r="34">
      <c r="A34" s="10"/>
    </row>
    <row r="35">
      <c r="A35" s="10"/>
    </row>
    <row r="36">
      <c r="A36" s="10"/>
    </row>
    <row r="37">
      <c r="A37" s="10"/>
    </row>
    <row r="38">
      <c r="A38" s="10"/>
    </row>
    <row r="39">
      <c r="A39" s="10"/>
    </row>
    <row r="40">
      <c r="A40" s="10"/>
    </row>
    <row r="41">
      <c r="A41" s="10"/>
    </row>
    <row r="42">
      <c r="A42" s="10"/>
    </row>
    <row r="43">
      <c r="A43" s="10"/>
    </row>
    <row r="44">
      <c r="A44" s="10"/>
    </row>
    <row r="45">
      <c r="A45" s="10"/>
    </row>
    <row r="46">
      <c r="A46" s="10"/>
    </row>
    <row r="47">
      <c r="A47" s="10"/>
    </row>
    <row r="48">
      <c r="A48" s="10"/>
    </row>
    <row r="49">
      <c r="A49" s="10"/>
    </row>
    <row r="50">
      <c r="A50" s="10"/>
    </row>
    <row r="51">
      <c r="A51" s="10"/>
    </row>
    <row r="52">
      <c r="A52" s="10"/>
    </row>
    <row r="53">
      <c r="A53" s="10"/>
    </row>
    <row r="54">
      <c r="A54" s="10"/>
    </row>
    <row r="55">
      <c r="A55" s="10"/>
    </row>
    <row r="56">
      <c r="A56" s="10"/>
    </row>
    <row r="57">
      <c r="A57" s="10"/>
    </row>
    <row r="58">
      <c r="A58" s="10"/>
    </row>
    <row r="59">
      <c r="A59" s="10"/>
    </row>
    <row r="60">
      <c r="A60" s="10"/>
    </row>
    <row r="61">
      <c r="A61" s="10"/>
    </row>
    <row r="62">
      <c r="A62" s="10"/>
    </row>
    <row r="63">
      <c r="A63" s="10"/>
    </row>
    <row r="64">
      <c r="A64" s="10"/>
    </row>
    <row r="65">
      <c r="A65" s="10"/>
    </row>
    <row r="66">
      <c r="A66" s="10"/>
    </row>
    <row r="67">
      <c r="A67" s="10"/>
    </row>
    <row r="68">
      <c r="A68" s="10"/>
    </row>
    <row r="69">
      <c r="A69" s="10"/>
    </row>
    <row r="70">
      <c r="A70" s="10"/>
    </row>
    <row r="71">
      <c r="A71" s="10"/>
    </row>
    <row r="72">
      <c r="A72" s="10"/>
    </row>
    <row r="73">
      <c r="A73" s="10"/>
    </row>
    <row r="74">
      <c r="A74" s="10"/>
    </row>
    <row r="75">
      <c r="A75" s="10"/>
    </row>
    <row r="76">
      <c r="A76" s="10"/>
    </row>
    <row r="77">
      <c r="A77" s="10"/>
    </row>
    <row r="78">
      <c r="A78" s="10"/>
    </row>
    <row r="79">
      <c r="A79" s="10"/>
    </row>
    <row r="80">
      <c r="A80" s="10"/>
    </row>
    <row r="81">
      <c r="A81" s="10"/>
    </row>
    <row r="82">
      <c r="A82" s="10"/>
    </row>
    <row r="83">
      <c r="A83" s="10"/>
    </row>
    <row r="84">
      <c r="A84" s="10"/>
    </row>
    <row r="85">
      <c r="A85" s="10"/>
    </row>
    <row r="86">
      <c r="A86" s="10"/>
    </row>
    <row r="87">
      <c r="A87" s="10"/>
    </row>
    <row r="88">
      <c r="A88" s="10"/>
    </row>
    <row r="89">
      <c r="A89" s="10"/>
    </row>
    <row r="90">
      <c r="A90" s="10"/>
    </row>
    <row r="91">
      <c r="A91" s="10"/>
    </row>
    <row r="92">
      <c r="A92" s="10"/>
    </row>
    <row r="93">
      <c r="A93" s="10"/>
    </row>
    <row r="94">
      <c r="A94" s="10"/>
    </row>
    <row r="95">
      <c r="A95" s="10"/>
    </row>
    <row r="96">
      <c r="A96" s="10"/>
    </row>
    <row r="97">
      <c r="A97" s="10"/>
    </row>
    <row r="98">
      <c r="A98" s="10"/>
    </row>
    <row r="99">
      <c r="A99" s="10"/>
    </row>
    <row r="100">
      <c r="A100" s="10"/>
    </row>
    <row r="101">
      <c r="A101" s="10"/>
    </row>
    <row r="102">
      <c r="A102" s="10"/>
    </row>
    <row r="103">
      <c r="A103" s="10"/>
    </row>
    <row r="104">
      <c r="A104" s="10"/>
    </row>
    <row r="105">
      <c r="A105" s="10"/>
    </row>
    <row r="106">
      <c r="A106" s="10"/>
    </row>
    <row r="107">
      <c r="A107" s="10"/>
    </row>
    <row r="108">
      <c r="A108" s="10"/>
    </row>
    <row r="109">
      <c r="A109" s="10"/>
    </row>
    <row r="110">
      <c r="A110" s="10"/>
    </row>
    <row r="111">
      <c r="A111" s="10"/>
    </row>
    <row r="112">
      <c r="A112" s="10"/>
    </row>
    <row r="113">
      <c r="A113" s="10"/>
    </row>
    <row r="114">
      <c r="A114" s="10"/>
    </row>
    <row r="115">
      <c r="A115" s="10"/>
    </row>
    <row r="116">
      <c r="A116" s="10"/>
    </row>
    <row r="117">
      <c r="A117" s="10"/>
    </row>
    <row r="118">
      <c r="A118" s="10"/>
    </row>
    <row r="119">
      <c r="A119" s="10"/>
    </row>
    <row r="120">
      <c r="A120" s="10"/>
    </row>
    <row r="121">
      <c r="A121" s="10"/>
    </row>
    <row r="122">
      <c r="A122" s="10"/>
    </row>
    <row r="123">
      <c r="A123" s="10"/>
    </row>
    <row r="124">
      <c r="A124" s="10"/>
    </row>
    <row r="125">
      <c r="A125" s="10"/>
    </row>
    <row r="126">
      <c r="A126" s="10"/>
    </row>
    <row r="127">
      <c r="A127" s="10"/>
    </row>
    <row r="128">
      <c r="A128" s="10"/>
    </row>
    <row r="129">
      <c r="A129" s="10"/>
    </row>
    <row r="130">
      <c r="A130" s="10"/>
    </row>
    <row r="131">
      <c r="A131" s="10"/>
    </row>
    <row r="132">
      <c r="A132" s="10"/>
    </row>
    <row r="133">
      <c r="A133" s="10"/>
    </row>
    <row r="134">
      <c r="A134" s="10"/>
    </row>
    <row r="135">
      <c r="A135" s="10"/>
    </row>
    <row r="136">
      <c r="A136" s="10"/>
    </row>
    <row r="137">
      <c r="A137" s="10"/>
    </row>
    <row r="138">
      <c r="A138" s="10"/>
    </row>
    <row r="139">
      <c r="A139" s="10"/>
    </row>
    <row r="140">
      <c r="A140" s="10"/>
    </row>
    <row r="141">
      <c r="A141" s="10"/>
    </row>
    <row r="142">
      <c r="A142" s="10"/>
    </row>
    <row r="143">
      <c r="A143" s="10"/>
    </row>
    <row r="144">
      <c r="A144" s="10"/>
    </row>
    <row r="145">
      <c r="A145" s="10"/>
    </row>
    <row r="146">
      <c r="A146" s="10"/>
    </row>
    <row r="147">
      <c r="A147" s="10"/>
    </row>
    <row r="148">
      <c r="A148" s="10"/>
    </row>
    <row r="149">
      <c r="A149" s="10"/>
    </row>
    <row r="150">
      <c r="A150" s="10"/>
    </row>
    <row r="151">
      <c r="A151" s="10"/>
    </row>
    <row r="152">
      <c r="A152" s="10"/>
    </row>
    <row r="153">
      <c r="A153" s="10"/>
    </row>
    <row r="154">
      <c r="A154" s="10"/>
    </row>
    <row r="155">
      <c r="A155" s="10"/>
    </row>
    <row r="156">
      <c r="A156" s="10"/>
    </row>
    <row r="157">
      <c r="A157" s="10"/>
    </row>
    <row r="158">
      <c r="A158" s="10"/>
    </row>
    <row r="159">
      <c r="A159" s="10"/>
    </row>
    <row r="160">
      <c r="A160" s="10"/>
    </row>
    <row r="161">
      <c r="A161" s="10"/>
    </row>
    <row r="162">
      <c r="A162" s="10"/>
    </row>
    <row r="163">
      <c r="A163" s="10"/>
    </row>
    <row r="164">
      <c r="A164" s="10"/>
    </row>
    <row r="165">
      <c r="A165" s="10"/>
    </row>
    <row r="166">
      <c r="A166" s="10"/>
    </row>
    <row r="167">
      <c r="A167" s="10"/>
    </row>
    <row r="168">
      <c r="A168" s="10"/>
    </row>
    <row r="169">
      <c r="A169" s="10"/>
    </row>
    <row r="170">
      <c r="A170" s="10"/>
    </row>
    <row r="171">
      <c r="A171" s="10"/>
    </row>
    <row r="172">
      <c r="A172" s="10"/>
    </row>
    <row r="173">
      <c r="A173" s="10"/>
    </row>
    <row r="174">
      <c r="A174" s="10"/>
    </row>
    <row r="175">
      <c r="A175" s="10"/>
    </row>
    <row r="176">
      <c r="A176" s="10"/>
    </row>
    <row r="177">
      <c r="A177" s="10"/>
    </row>
    <row r="178">
      <c r="A178" s="10"/>
    </row>
    <row r="179">
      <c r="A179" s="10"/>
    </row>
    <row r="180">
      <c r="A180" s="10"/>
    </row>
    <row r="181">
      <c r="A181" s="10"/>
    </row>
    <row r="182">
      <c r="A182" s="10"/>
    </row>
    <row r="183">
      <c r="A183" s="10"/>
    </row>
    <row r="184">
      <c r="A184" s="10"/>
    </row>
    <row r="185">
      <c r="A185" s="10"/>
    </row>
    <row r="186">
      <c r="A186" s="10"/>
    </row>
    <row r="187">
      <c r="A187" s="10"/>
    </row>
    <row r="188">
      <c r="A188" s="10"/>
    </row>
    <row r="189">
      <c r="A189" s="10"/>
    </row>
    <row r="190">
      <c r="A190" s="10"/>
    </row>
    <row r="191">
      <c r="A191" s="10"/>
    </row>
    <row r="192">
      <c r="A192" s="10"/>
    </row>
    <row r="193">
      <c r="A193" s="10"/>
    </row>
    <row r="194">
      <c r="A194" s="10"/>
    </row>
    <row r="195">
      <c r="A195" s="10"/>
    </row>
    <row r="196">
      <c r="A196" s="10"/>
    </row>
    <row r="197">
      <c r="A197" s="10"/>
    </row>
    <row r="198">
      <c r="A198" s="10"/>
    </row>
    <row r="199">
      <c r="A199" s="10"/>
    </row>
    <row r="200">
      <c r="A200" s="10"/>
    </row>
    <row r="201">
      <c r="A201" s="10"/>
    </row>
    <row r="202">
      <c r="A202" s="10"/>
    </row>
    <row r="203">
      <c r="A203" s="10"/>
    </row>
    <row r="204">
      <c r="A204" s="10"/>
    </row>
    <row r="205">
      <c r="A205" s="10"/>
    </row>
    <row r="206">
      <c r="A206" s="10"/>
    </row>
    <row r="207">
      <c r="A207" s="10"/>
    </row>
    <row r="208">
      <c r="A208" s="10"/>
    </row>
    <row r="209">
      <c r="A209" s="10"/>
    </row>
    <row r="210">
      <c r="A210" s="10"/>
    </row>
    <row r="211">
      <c r="A211" s="10"/>
    </row>
    <row r="212">
      <c r="A212" s="10"/>
    </row>
    <row r="213">
      <c r="A213" s="10"/>
    </row>
    <row r="214">
      <c r="A214" s="10"/>
    </row>
    <row r="215">
      <c r="A215" s="10"/>
    </row>
    <row r="216">
      <c r="A216" s="10"/>
    </row>
    <row r="217">
      <c r="A217" s="10"/>
    </row>
    <row r="218">
      <c r="A218" s="10"/>
    </row>
    <row r="219">
      <c r="A219" s="10"/>
    </row>
    <row r="220">
      <c r="A220" s="10"/>
    </row>
    <row r="221">
      <c r="A221" s="10"/>
    </row>
    <row r="222">
      <c r="A222" s="10"/>
    </row>
    <row r="223">
      <c r="A223" s="10"/>
    </row>
    <row r="224">
      <c r="A224" s="10"/>
    </row>
    <row r="225">
      <c r="A225" s="10"/>
    </row>
    <row r="226">
      <c r="A226" s="10"/>
    </row>
    <row r="227">
      <c r="A227" s="10"/>
    </row>
    <row r="228">
      <c r="A228" s="10"/>
    </row>
    <row r="229">
      <c r="A229" s="10"/>
    </row>
    <row r="230">
      <c r="A230" s="10"/>
    </row>
    <row r="231">
      <c r="A231" s="10"/>
    </row>
    <row r="232">
      <c r="A232" s="10"/>
    </row>
    <row r="233">
      <c r="A233" s="10"/>
    </row>
    <row r="234">
      <c r="A234" s="10"/>
    </row>
    <row r="235">
      <c r="A235" s="10"/>
    </row>
    <row r="236">
      <c r="A236" s="10"/>
    </row>
    <row r="237">
      <c r="A237" s="10"/>
    </row>
    <row r="238">
      <c r="A238" s="10"/>
    </row>
    <row r="239">
      <c r="A239" s="10"/>
    </row>
    <row r="240">
      <c r="A240" s="10"/>
    </row>
    <row r="241">
      <c r="A241" s="10"/>
    </row>
    <row r="242">
      <c r="A242" s="10"/>
    </row>
    <row r="243">
      <c r="A243" s="10"/>
    </row>
    <row r="244">
      <c r="A244" s="10"/>
    </row>
    <row r="245">
      <c r="A245" s="10"/>
    </row>
    <row r="246">
      <c r="A246" s="10"/>
    </row>
    <row r="247">
      <c r="A247" s="10"/>
    </row>
    <row r="248">
      <c r="A248" s="10"/>
    </row>
    <row r="249">
      <c r="A249" s="10"/>
    </row>
    <row r="250">
      <c r="A250" s="10"/>
    </row>
    <row r="251">
      <c r="A251" s="10"/>
    </row>
    <row r="252">
      <c r="A252" s="10"/>
    </row>
    <row r="253">
      <c r="A253" s="10"/>
    </row>
    <row r="254">
      <c r="A254" s="10"/>
    </row>
    <row r="255">
      <c r="A255" s="10"/>
    </row>
    <row r="256">
      <c r="A256" s="10"/>
    </row>
    <row r="257">
      <c r="A257" s="10"/>
    </row>
    <row r="258">
      <c r="A258" s="10"/>
    </row>
    <row r="259">
      <c r="A259" s="10"/>
    </row>
    <row r="260">
      <c r="A260" s="10"/>
    </row>
    <row r="261">
      <c r="A261" s="10"/>
    </row>
    <row r="262">
      <c r="A262" s="10"/>
    </row>
    <row r="263">
      <c r="A263" s="10"/>
    </row>
    <row r="264">
      <c r="A264" s="10"/>
    </row>
    <row r="265">
      <c r="A265" s="10"/>
    </row>
    <row r="266">
      <c r="A266" s="10"/>
    </row>
    <row r="267">
      <c r="A267" s="10"/>
    </row>
    <row r="268">
      <c r="A268" s="10"/>
    </row>
    <row r="269">
      <c r="A269" s="10"/>
    </row>
    <row r="270">
      <c r="A270" s="10"/>
    </row>
    <row r="271">
      <c r="A271" s="10"/>
    </row>
    <row r="272">
      <c r="A272" s="10"/>
    </row>
    <row r="273">
      <c r="A273" s="10"/>
    </row>
    <row r="274">
      <c r="A274" s="10"/>
    </row>
    <row r="275">
      <c r="A275" s="10"/>
    </row>
    <row r="276">
      <c r="A276" s="10"/>
    </row>
    <row r="277">
      <c r="A277" s="10"/>
    </row>
    <row r="278">
      <c r="A278" s="10"/>
    </row>
    <row r="279">
      <c r="A279" s="10"/>
    </row>
    <row r="280">
      <c r="A280" s="10"/>
    </row>
    <row r="281">
      <c r="A281" s="10"/>
    </row>
    <row r="282">
      <c r="A282" s="10"/>
    </row>
    <row r="283">
      <c r="A283" s="10"/>
    </row>
    <row r="284">
      <c r="A284" s="10"/>
    </row>
    <row r="285">
      <c r="A285" s="10"/>
    </row>
    <row r="286">
      <c r="A286" s="10"/>
    </row>
    <row r="287">
      <c r="A287" s="10"/>
    </row>
    <row r="288">
      <c r="A288" s="10"/>
    </row>
    <row r="289">
      <c r="A289" s="10"/>
    </row>
    <row r="290">
      <c r="A290" s="10"/>
    </row>
    <row r="291">
      <c r="A291" s="10"/>
    </row>
    <row r="292">
      <c r="A292" s="10"/>
    </row>
    <row r="293">
      <c r="A293" s="10"/>
    </row>
    <row r="294">
      <c r="A294" s="10"/>
    </row>
    <row r="295">
      <c r="A295" s="10"/>
    </row>
    <row r="296">
      <c r="A296" s="10"/>
    </row>
    <row r="297">
      <c r="A297" s="10"/>
    </row>
    <row r="298">
      <c r="A298" s="10"/>
    </row>
    <row r="299">
      <c r="A299" s="10"/>
    </row>
    <row r="300">
      <c r="A300" s="10"/>
    </row>
    <row r="301">
      <c r="A301" s="10"/>
    </row>
    <row r="302">
      <c r="A302" s="10"/>
    </row>
    <row r="303">
      <c r="A303" s="10"/>
    </row>
    <row r="304">
      <c r="A304" s="10"/>
    </row>
    <row r="305">
      <c r="A305" s="10"/>
    </row>
    <row r="306">
      <c r="A306" s="10"/>
    </row>
    <row r="307">
      <c r="A307" s="10"/>
    </row>
    <row r="308">
      <c r="A308" s="10"/>
    </row>
    <row r="309">
      <c r="A309" s="10"/>
    </row>
    <row r="310">
      <c r="A310" s="10"/>
    </row>
    <row r="311">
      <c r="A311" s="10"/>
    </row>
    <row r="312">
      <c r="A312" s="10"/>
    </row>
    <row r="313">
      <c r="A313" s="10"/>
    </row>
    <row r="314">
      <c r="A314" s="10"/>
    </row>
    <row r="315">
      <c r="A315" s="10"/>
    </row>
    <row r="316">
      <c r="A316" s="10"/>
    </row>
    <row r="317">
      <c r="A317" s="10"/>
    </row>
    <row r="318">
      <c r="A318" s="10"/>
    </row>
    <row r="319">
      <c r="A319" s="10"/>
    </row>
    <row r="320">
      <c r="A320" s="10"/>
    </row>
    <row r="321">
      <c r="A321" s="10"/>
    </row>
    <row r="322">
      <c r="A322" s="10"/>
    </row>
    <row r="323">
      <c r="A323" s="10"/>
    </row>
    <row r="324">
      <c r="A324" s="10"/>
    </row>
    <row r="325">
      <c r="A325" s="10"/>
    </row>
    <row r="326">
      <c r="A326" s="10"/>
    </row>
    <row r="327">
      <c r="A327" s="10"/>
    </row>
    <row r="328">
      <c r="A328" s="10"/>
    </row>
    <row r="329">
      <c r="A329" s="10"/>
    </row>
    <row r="330">
      <c r="A330" s="10"/>
    </row>
    <row r="331">
      <c r="A331" s="10"/>
    </row>
    <row r="332">
      <c r="A332" s="10"/>
    </row>
    <row r="333">
      <c r="A333" s="10"/>
    </row>
    <row r="334">
      <c r="A334" s="10"/>
    </row>
    <row r="335">
      <c r="A335" s="10"/>
    </row>
    <row r="336">
      <c r="A336" s="10"/>
    </row>
    <row r="337">
      <c r="A337" s="10"/>
    </row>
    <row r="338">
      <c r="A338" s="10"/>
    </row>
    <row r="339">
      <c r="A339" s="10"/>
    </row>
    <row r="340">
      <c r="A340" s="10"/>
    </row>
    <row r="341">
      <c r="A341" s="10"/>
    </row>
    <row r="342">
      <c r="A342" s="10"/>
    </row>
    <row r="343">
      <c r="A343" s="10"/>
    </row>
    <row r="344">
      <c r="A344" s="10"/>
    </row>
    <row r="345">
      <c r="A345" s="10"/>
    </row>
    <row r="346">
      <c r="A346" s="10"/>
    </row>
    <row r="347">
      <c r="A347" s="10"/>
    </row>
    <row r="348">
      <c r="A348" s="10"/>
    </row>
    <row r="349">
      <c r="A349" s="10"/>
    </row>
    <row r="350">
      <c r="A350" s="10"/>
    </row>
    <row r="351">
      <c r="A351" s="10"/>
    </row>
    <row r="352">
      <c r="A352" s="10"/>
    </row>
    <row r="353">
      <c r="A353" s="10"/>
    </row>
    <row r="354">
      <c r="A354" s="10"/>
    </row>
    <row r="355">
      <c r="A355" s="10"/>
    </row>
    <row r="356">
      <c r="A356" s="10"/>
    </row>
    <row r="357">
      <c r="A357" s="10"/>
    </row>
    <row r="358">
      <c r="A358" s="10"/>
    </row>
    <row r="359">
      <c r="A359" s="10"/>
    </row>
    <row r="360">
      <c r="A360" s="10"/>
    </row>
    <row r="361">
      <c r="A361" s="10"/>
    </row>
    <row r="362">
      <c r="A362" s="10"/>
    </row>
    <row r="363">
      <c r="A363" s="10"/>
    </row>
    <row r="364">
      <c r="A364" s="10"/>
    </row>
    <row r="365">
      <c r="A365" s="10"/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  <row r="500">
      <c r="A500" s="10"/>
    </row>
    <row r="501">
      <c r="A501" s="10"/>
    </row>
    <row r="502">
      <c r="A502" s="10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  <row r="941">
      <c r="A941" s="10"/>
    </row>
    <row r="942">
      <c r="A942" s="10"/>
    </row>
    <row r="943">
      <c r="A943" s="10"/>
    </row>
    <row r="944">
      <c r="A944" s="10"/>
    </row>
    <row r="945">
      <c r="A945" s="10"/>
    </row>
    <row r="946">
      <c r="A946" s="10"/>
    </row>
    <row r="947">
      <c r="A947" s="10"/>
    </row>
    <row r="948">
      <c r="A948" s="10"/>
    </row>
    <row r="949">
      <c r="A949" s="10"/>
    </row>
    <row r="950">
      <c r="A950" s="10"/>
    </row>
    <row r="951">
      <c r="A951" s="10"/>
    </row>
    <row r="952">
      <c r="A952" s="10"/>
    </row>
    <row r="953">
      <c r="A953" s="10"/>
    </row>
    <row r="954">
      <c r="A954" s="10"/>
    </row>
    <row r="955">
      <c r="A955" s="10"/>
    </row>
    <row r="956">
      <c r="A956" s="10"/>
    </row>
    <row r="957">
      <c r="A957" s="10"/>
    </row>
    <row r="958">
      <c r="A958" s="10"/>
    </row>
    <row r="959">
      <c r="A959" s="10"/>
    </row>
    <row r="960">
      <c r="A960" s="10"/>
    </row>
    <row r="961">
      <c r="A961" s="10"/>
    </row>
    <row r="962">
      <c r="A962" s="10"/>
    </row>
    <row r="963">
      <c r="A963" s="10"/>
    </row>
    <row r="964">
      <c r="A964" s="10"/>
    </row>
    <row r="965">
      <c r="A965" s="10"/>
    </row>
    <row r="966">
      <c r="A966" s="10"/>
    </row>
    <row r="967">
      <c r="A967" s="10"/>
    </row>
    <row r="968">
      <c r="A968" s="10"/>
    </row>
    <row r="969">
      <c r="A969" s="10"/>
    </row>
    <row r="970">
      <c r="A970" s="10"/>
    </row>
    <row r="971">
      <c r="A971" s="10"/>
    </row>
    <row r="972">
      <c r="A972" s="10"/>
    </row>
    <row r="973">
      <c r="A973" s="10"/>
    </row>
    <row r="974">
      <c r="A974" s="10"/>
    </row>
    <row r="975">
      <c r="A975" s="10"/>
    </row>
    <row r="976">
      <c r="A976" s="10"/>
    </row>
    <row r="977">
      <c r="A977" s="10"/>
    </row>
    <row r="978">
      <c r="A978" s="10"/>
    </row>
    <row r="979">
      <c r="A979" s="10"/>
    </row>
    <row r="980">
      <c r="A980" s="10"/>
    </row>
    <row r="981">
      <c r="A981" s="10"/>
    </row>
    <row r="982">
      <c r="A982" s="10"/>
    </row>
    <row r="983">
      <c r="A983" s="10"/>
    </row>
    <row r="984">
      <c r="A984" s="10"/>
    </row>
    <row r="985">
      <c r="A985" s="10"/>
    </row>
    <row r="986">
      <c r="A986" s="10"/>
    </row>
    <row r="987">
      <c r="A987" s="10"/>
    </row>
    <row r="988">
      <c r="A988" s="10"/>
    </row>
    <row r="989">
      <c r="A989" s="10"/>
    </row>
    <row r="990">
      <c r="A990" s="10"/>
    </row>
    <row r="991">
      <c r="A991" s="10"/>
    </row>
    <row r="992">
      <c r="A992" s="10"/>
    </row>
    <row r="993">
      <c r="A993" s="10"/>
    </row>
    <row r="994">
      <c r="A994" s="10"/>
    </row>
    <row r="995">
      <c r="A995" s="10"/>
    </row>
    <row r="996">
      <c r="A996" s="10"/>
    </row>
    <row r="997">
      <c r="A997" s="10"/>
    </row>
    <row r="998">
      <c r="A998" s="10"/>
    </row>
    <row r="999">
      <c r="A999" s="10"/>
    </row>
    <row r="1000">
      <c r="A1000" s="10"/>
    </row>
  </sheetData>
  <dataValidations>
    <dataValidation type="list" allowBlank="1" showErrorMessage="1" sqref="J2:J21">
      <formula1>"Design,Supply,Installation,Testing,Commissioning,Integration,Customization,Software Development,Deployment,Training,Operations,Maintenance,AMC,Cloud Hosting,Technical Support"</formula1>
    </dataValidation>
    <dataValidation type="list" allowBlank="1" sqref="H2:H21">
      <formula1>"Surveillance,Traffic Enforcement,Networking,Forensics,Drone Solutions,Command &amp; Control,Digital Evidence Management,AI &amp; Analytics,IT Infrastructure,Software Solutions"</formula1>
    </dataValidation>
    <dataValidation type="list" allowBlank="1" showErrorMessage="1" sqref="P2:P21">
      <formula1>"Purchase Order (PO),Work Order (WO),Letter of Award (LOA),Agreement / Contract,PO + Agreement,WO + Agreement,Rate Contract,Other"</formula1>
    </dataValidation>
    <dataValidation type="list" allowBlank="1" sqref="Z2:Z21">
      <formula1>"Deposited,Returned,Return Requested,Not Applicable"</formula1>
    </dataValidation>
    <dataValidation type="list" allowBlank="1" sqref="U2:U21">
      <formula1>"Completed,Ongoing,Warranty Support,AMC,Completed"</formula1>
    </dataValidation>
    <dataValidation type="list" allowBlank="1" showErrorMessage="1" sqref="E2:E21">
      <formula1>"Police,Smart City,Municipal Corporation,Transport,State Government,Central Government,PSU,MSI,Enterprise,Banking,Education,Defense,Other"</formula1>
    </dataValidation>
    <dataValidation type="list" allowBlank="1" showErrorMessage="1" sqref="W2:W21">
      <formula1>"Strong,Medium,Weak"</formula1>
    </dataValidation>
    <dataValidation type="list" allowBlank="1" showErrorMessage="1" sqref="O2:O21">
      <formula1>"Yes,Applied,No"</formula1>
    </dataValidation>
    <dataValidation type="list" allowBlank="1" showErrorMessage="1" sqref="F2:F21">
      <formula1>"Direct Customer,Through System Integrator,Through OEM,Consortium / JV,Subcontract"</formula1>
    </dataValidation>
    <dataValidation type="list" allowBlank="1" sqref="L2:L21">
      <formula1>"Less than 50 Lakh,50 Lakh - 1 Cr,1 Cr - 2 Cr,2 Cr - 5 Cr,5 Cr - 10 Cr,10 Cr - 25 Cr,25 Cr+"</formula1>
    </dataValidation>
    <dataValidation type="list" allowBlank="1" sqref="AA2:AA21">
      <formula1>"Manual PBG,E-PBG,FD"</formula1>
    </dataValidation>
    <dataValidation type="list" allowBlank="1" sqref="S2:S21">
      <formula1>"Yes,Applied,Work Under Progress,No"</formula1>
    </dataValidation>
    <dataValidation type="list" allowBlank="1" showErrorMessage="1" sqref="M2:M21">
      <formula1>"Yes,No"</formula1>
    </dataValidation>
    <dataValidation type="custom" allowBlank="1" showDropDown="1" sqref="AD2:AE21">
      <formula1>OR(NOT(ISERROR(DATEVALUE(AD2))), AND(ISNUMBER(AD2), LEFT(CELL("format", AD2))="D"))</formula1>
    </dataValidation>
    <dataValidation type="custom" allowBlank="1" showDropDown="1" sqref="K2:K21 T2:T21 AC2:AC21">
      <formula1>AND(ISNUMBER(K2),(NOT(OR(NOT(ISERROR(DATEVALUE(K2))), AND(ISNUMBER(K2), LEFT(CELL("format", K2))="D")))))</formula1>
    </dataValidation>
    <dataValidation type="list" allowBlank="1" sqref="V2:V21">
      <formula1>"Completed,Ongoing,Warranty Support,AMC,Completed"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15.0"/>
    <col customWidth="1" min="3" max="3" width="17.88"/>
    <col customWidth="1" min="4" max="4" width="20.25"/>
    <col customWidth="1" min="5" max="5" width="18.0"/>
    <col customWidth="1" min="6" max="6" width="26.0"/>
    <col customWidth="1" min="7" max="7" width="16.63"/>
    <col customWidth="1" min="8" max="8" width="17.13"/>
    <col customWidth="1" min="9" max="9" width="13.5"/>
    <col customWidth="1" min="10" max="10" width="21.88"/>
    <col customWidth="1" min="11" max="11" width="26.25"/>
    <col customWidth="1" min="12" max="12" width="43.13"/>
  </cols>
  <sheetData>
    <row r="1" ht="22.5" customHeight="1">
      <c r="A1" s="2" t="s">
        <v>0</v>
      </c>
      <c r="B1" s="2" t="s">
        <v>9</v>
      </c>
      <c r="C1" s="2" t="s">
        <v>14</v>
      </c>
      <c r="D1" s="2" t="s">
        <v>18</v>
      </c>
      <c r="E1" s="2" t="s">
        <v>23</v>
      </c>
      <c r="F1" s="2" t="s">
        <v>28</v>
      </c>
      <c r="G1" s="2" t="s">
        <v>31</v>
      </c>
      <c r="H1" s="2" t="s">
        <v>33</v>
      </c>
      <c r="I1" s="2" t="s">
        <v>36</v>
      </c>
      <c r="J1" s="3" t="s">
        <v>40</v>
      </c>
      <c r="K1" s="2" t="s">
        <v>45</v>
      </c>
      <c r="L1" s="2" t="s">
        <v>43</v>
      </c>
    </row>
    <row r="2" ht="22.5" customHeight="1">
      <c r="A2" s="4">
        <v>1.0</v>
      </c>
      <c r="B2" s="4" t="s">
        <v>56</v>
      </c>
      <c r="C2" s="4" t="s">
        <v>60</v>
      </c>
      <c r="D2" s="7" t="s">
        <v>62</v>
      </c>
      <c r="E2" s="4" t="s">
        <v>66</v>
      </c>
      <c r="F2" s="2" t="s">
        <v>69</v>
      </c>
      <c r="G2" s="9">
        <v>40539.0</v>
      </c>
      <c r="H2" s="9"/>
      <c r="I2" s="7" t="s">
        <v>73</v>
      </c>
      <c r="J2" s="7" t="s">
        <v>75</v>
      </c>
      <c r="K2" s="13" t="str">
        <f>HYPERLINK("https://drive.google.com/file/d/1HftKePUwGZ6vK2Ke4UUkvIye0fPWY2Ms/view?usp=drive_link",C2)</f>
        <v>Firm Registration</v>
      </c>
      <c r="L2" s="4" t="s">
        <v>84</v>
      </c>
    </row>
    <row r="3" ht="22.5" customHeight="1">
      <c r="A3" s="4">
        <v>2.0</v>
      </c>
      <c r="B3" s="4" t="s">
        <v>88</v>
      </c>
      <c r="C3" s="4" t="s">
        <v>92</v>
      </c>
      <c r="D3" s="7" t="s">
        <v>62</v>
      </c>
      <c r="E3" s="4" t="s">
        <v>94</v>
      </c>
      <c r="F3" s="2">
        <v>2.9390618415E10</v>
      </c>
      <c r="G3" s="9">
        <v>40863.0</v>
      </c>
      <c r="H3" s="9"/>
      <c r="I3" s="7" t="s">
        <v>73</v>
      </c>
      <c r="J3" s="7" t="s">
        <v>96</v>
      </c>
      <c r="K3" s="13" t="str">
        <f>HYPERLINK("https://drive.google.com/file/d/1cS460htA0AUhWTIjDSY9JeM5UayqlBu-/view?usp=drive_link",C3)</f>
        <v>VAT Registration</v>
      </c>
      <c r="L3" s="4" t="s">
        <v>101</v>
      </c>
    </row>
    <row r="4" ht="22.5" customHeight="1">
      <c r="A4" s="4">
        <v>3.0</v>
      </c>
      <c r="B4" s="4" t="s">
        <v>102</v>
      </c>
      <c r="C4" s="4" t="s">
        <v>103</v>
      </c>
      <c r="D4" s="7" t="s">
        <v>62</v>
      </c>
      <c r="E4" s="4" t="s">
        <v>104</v>
      </c>
      <c r="F4" s="2" t="s">
        <v>105</v>
      </c>
      <c r="G4" s="9">
        <v>42917.0</v>
      </c>
      <c r="H4" s="9"/>
      <c r="I4" s="7" t="s">
        <v>73</v>
      </c>
      <c r="J4" s="7" t="s">
        <v>75</v>
      </c>
      <c r="K4" s="13" t="str">
        <f>HYPERLINK("https://drive.google.com/file/d/1V_AFemncUrCJTSFNFLORWLirCnTlm0bb/view?usp=drive_link",C4)</f>
        <v>GSTIN</v>
      </c>
      <c r="L4" s="4"/>
    </row>
    <row r="5" ht="22.5" customHeight="1">
      <c r="A5" s="4">
        <v>4.0</v>
      </c>
      <c r="B5" s="4" t="s">
        <v>113</v>
      </c>
      <c r="C5" s="4" t="s">
        <v>115</v>
      </c>
      <c r="D5" s="7" t="s">
        <v>62</v>
      </c>
      <c r="E5" s="4" t="s">
        <v>117</v>
      </c>
      <c r="F5" s="2" t="s">
        <v>118</v>
      </c>
      <c r="G5" s="9">
        <v>40535.0</v>
      </c>
      <c r="H5" s="9"/>
      <c r="I5" s="7" t="s">
        <v>73</v>
      </c>
      <c r="J5" s="7" t="s">
        <v>75</v>
      </c>
      <c r="K5" s="13" t="str">
        <f>HYPERLINK("https://drive.google.com/file/d/1aoPWXe-2-8CLYgJ9UQfwuc7cADeJtf3k/view?usp=drive_link",C5)</f>
        <v>PAN</v>
      </c>
      <c r="L5" s="4"/>
    </row>
    <row r="6" ht="22.5" customHeight="1">
      <c r="A6" s="4">
        <v>5.0</v>
      </c>
      <c r="B6" s="4" t="s">
        <v>122</v>
      </c>
      <c r="C6" s="4" t="s">
        <v>123</v>
      </c>
      <c r="D6" s="7" t="s">
        <v>62</v>
      </c>
      <c r="E6" s="4" t="s">
        <v>124</v>
      </c>
      <c r="F6" s="2" t="s">
        <v>125</v>
      </c>
      <c r="G6" s="9">
        <v>44200.0</v>
      </c>
      <c r="H6" s="9"/>
      <c r="I6" s="7" t="s">
        <v>73</v>
      </c>
      <c r="J6" s="7" t="s">
        <v>75</v>
      </c>
      <c r="K6" s="13" t="str">
        <f>HYPERLINK("https://drive.google.com/file/d/1px1eM-iQ1scXVm6pXE61bVE7G8bxC8Pp/view?usp=drive_link",C6)</f>
        <v>MSME-UDYAM</v>
      </c>
      <c r="L6" s="4"/>
    </row>
    <row r="7" ht="22.5" customHeight="1">
      <c r="A7" s="4">
        <v>6.0</v>
      </c>
      <c r="B7" s="4" t="s">
        <v>133</v>
      </c>
      <c r="C7" s="4" t="s">
        <v>135</v>
      </c>
      <c r="D7" s="7" t="s">
        <v>62</v>
      </c>
      <c r="E7" s="4" t="s">
        <v>124</v>
      </c>
      <c r="F7" s="2" t="s">
        <v>136</v>
      </c>
      <c r="G7" s="9">
        <v>42924.0</v>
      </c>
      <c r="H7" s="9"/>
      <c r="I7" s="7" t="s">
        <v>73</v>
      </c>
      <c r="J7" s="7" t="s">
        <v>96</v>
      </c>
      <c r="K7" s="13" t="str">
        <f>HYPERLINK("https://drive.google.com/file/d/1XnS_uOVqKJJwWf7fRR6fdVTwWZAOsjBa/view?usp=drive_link",C7)</f>
        <v>MSME-UDYOG</v>
      </c>
      <c r="L7" s="4"/>
    </row>
    <row r="8" ht="22.5" customHeight="1">
      <c r="A8" s="4">
        <v>7.0</v>
      </c>
      <c r="B8" s="4" t="s">
        <v>142</v>
      </c>
      <c r="C8" s="4" t="s">
        <v>144</v>
      </c>
      <c r="D8" s="7" t="s">
        <v>146</v>
      </c>
      <c r="E8" s="4" t="s">
        <v>147</v>
      </c>
      <c r="F8" s="2" t="s">
        <v>148</v>
      </c>
      <c r="G8" s="9">
        <v>45981.0</v>
      </c>
      <c r="H8" s="9">
        <v>46710.0</v>
      </c>
      <c r="I8" s="7" t="s">
        <v>73</v>
      </c>
      <c r="J8" s="7" t="s">
        <v>75</v>
      </c>
      <c r="K8" s="13" t="str">
        <f>HYPERLINK("https://drive.google.com/file/d/1I9sDxzrCjjE34uye4CAFBrrv8kMXsumA/view?usp=drive_link",C8)</f>
        <v>NSIC</v>
      </c>
      <c r="L8" s="4"/>
    </row>
    <row r="9" ht="22.5" customHeight="1">
      <c r="A9" s="4">
        <v>8.0</v>
      </c>
      <c r="B9" s="4" t="s">
        <v>153</v>
      </c>
      <c r="C9" s="4" t="s">
        <v>154</v>
      </c>
      <c r="D9" s="7" t="s">
        <v>146</v>
      </c>
      <c r="E9" s="4" t="s">
        <v>155</v>
      </c>
      <c r="F9" s="19" t="s">
        <v>156</v>
      </c>
      <c r="G9" s="9">
        <v>41008.0</v>
      </c>
      <c r="H9" s="9"/>
      <c r="I9" s="7" t="s">
        <v>73</v>
      </c>
      <c r="J9" s="7" t="s">
        <v>96</v>
      </c>
      <c r="K9" s="13" t="str">
        <f>HYPERLINK("https://drive.google.com/file/d/1nt_fenvvHMWMa_Xb4Hjt6Gr8LVxfqTrR/view?usp=drive_link",C9)</f>
        <v>IEC</v>
      </c>
      <c r="L9" s="4"/>
    </row>
    <row r="10" ht="22.5" customHeight="1">
      <c r="A10" s="4">
        <v>9.0</v>
      </c>
      <c r="B10" s="4" t="s">
        <v>162</v>
      </c>
      <c r="C10" s="4" t="s">
        <v>163</v>
      </c>
      <c r="D10" s="7" t="s">
        <v>165</v>
      </c>
      <c r="E10" s="4" t="s">
        <v>166</v>
      </c>
      <c r="F10" s="2" t="s">
        <v>167</v>
      </c>
      <c r="G10" s="9">
        <v>45045.0</v>
      </c>
      <c r="H10" s="9">
        <v>47215.0</v>
      </c>
      <c r="I10" s="7" t="s">
        <v>73</v>
      </c>
      <c r="J10" s="7" t="s">
        <v>75</v>
      </c>
      <c r="K10" s="13" t="str">
        <f>HYPERLINK("https://drive.google.com/file/d/1gGIN3bC_rZHbdO0e1jmcigr6w54qFMCl/view?usp=drive_link",C10)</f>
        <v>ISO 9001:2015</v>
      </c>
      <c r="L10" s="4" t="s">
        <v>170</v>
      </c>
    </row>
    <row r="11" ht="22.5" customHeight="1">
      <c r="A11" s="4">
        <v>10.0</v>
      </c>
      <c r="B11" s="4" t="s">
        <v>174</v>
      </c>
      <c r="C11" s="4" t="s">
        <v>175</v>
      </c>
      <c r="D11" s="7" t="s">
        <v>165</v>
      </c>
      <c r="E11" s="4" t="s">
        <v>166</v>
      </c>
      <c r="F11" s="2" t="s">
        <v>176</v>
      </c>
      <c r="G11" s="9">
        <v>45403.0</v>
      </c>
      <c r="H11" s="9">
        <v>46415.0</v>
      </c>
      <c r="I11" s="7" t="s">
        <v>73</v>
      </c>
      <c r="J11" s="7" t="s">
        <v>75</v>
      </c>
      <c r="K11" s="13" t="str">
        <f>HYPERLINK("https://drive.google.com/file/d/1C_4sqx-lej9imyLh57D7heybDLhzsjfv/view?usp=drive_link",C11)</f>
        <v>ISO 14001:2015</v>
      </c>
      <c r="L11" s="4" t="s">
        <v>177</v>
      </c>
    </row>
    <row r="12" ht="22.5" customHeight="1">
      <c r="A12" s="4">
        <v>11.0</v>
      </c>
      <c r="B12" s="4" t="s">
        <v>179</v>
      </c>
      <c r="C12" s="4" t="s">
        <v>180</v>
      </c>
      <c r="D12" s="7" t="s">
        <v>165</v>
      </c>
      <c r="E12" s="4" t="s">
        <v>166</v>
      </c>
      <c r="F12" s="2" t="s">
        <v>182</v>
      </c>
      <c r="G12" s="9">
        <v>45045.0</v>
      </c>
      <c r="H12" s="9">
        <v>47215.0</v>
      </c>
      <c r="I12" s="7" t="s">
        <v>73</v>
      </c>
      <c r="J12" s="7" t="s">
        <v>97</v>
      </c>
      <c r="K12" s="13" t="str">
        <f>HYPERLINK("https://drive.google.com/file/d/1qyy3rmPDDKoULFiqvJsSYLFgnqfIwHcy/view?usp=drive_link",C12)</f>
        <v>ISO/IEC 20000-1:2018</v>
      </c>
      <c r="L12" s="4" t="s">
        <v>184</v>
      </c>
    </row>
    <row r="13" ht="22.5" customHeight="1">
      <c r="A13" s="4">
        <v>12.0</v>
      </c>
      <c r="B13" s="4" t="s">
        <v>187</v>
      </c>
      <c r="C13" s="4" t="s">
        <v>188</v>
      </c>
      <c r="D13" s="7" t="s">
        <v>165</v>
      </c>
      <c r="E13" s="4" t="s">
        <v>166</v>
      </c>
      <c r="F13" s="2" t="s">
        <v>190</v>
      </c>
      <c r="G13" s="9">
        <v>45045.0</v>
      </c>
      <c r="H13" s="9">
        <v>47215.0</v>
      </c>
      <c r="I13" s="7" t="s">
        <v>73</v>
      </c>
      <c r="J13" s="7" t="s">
        <v>97</v>
      </c>
      <c r="K13" s="13" t="str">
        <f>HYPERLINK("https://drive.google.com/file/d/120qm2tEqe86CC6mgdLDWVY4W0mQZU0SV/view?usp=drive_link",C13)</f>
        <v>ISO/IEC 27001:2022</v>
      </c>
      <c r="L13" s="4" t="s">
        <v>193</v>
      </c>
    </row>
    <row r="14" ht="22.5" customHeight="1">
      <c r="A14" s="4">
        <v>13.0</v>
      </c>
      <c r="B14" s="4" t="s">
        <v>194</v>
      </c>
      <c r="C14" s="4" t="s">
        <v>195</v>
      </c>
      <c r="D14" s="7" t="s">
        <v>165</v>
      </c>
      <c r="E14" s="4" t="s">
        <v>196</v>
      </c>
      <c r="F14" s="2" t="s">
        <v>197</v>
      </c>
      <c r="G14" s="9">
        <v>45848.0</v>
      </c>
      <c r="H14" s="9">
        <v>46943.0</v>
      </c>
      <c r="I14" s="7" t="s">
        <v>73</v>
      </c>
      <c r="J14" s="7" t="s">
        <v>97</v>
      </c>
      <c r="K14" s="13" t="str">
        <f>HYPERLINK("https://drive.google.com/file/d/110RHdA84WX6LL3Td-e7E1O23xs2cMrjk/view?usp=drive_link",C14)</f>
        <v>ISO 45001:2018</v>
      </c>
      <c r="L14" s="4" t="s">
        <v>199</v>
      </c>
    </row>
    <row r="15" ht="22.5" customHeight="1">
      <c r="A15" s="4">
        <v>14.0</v>
      </c>
      <c r="B15" s="4" t="s">
        <v>200</v>
      </c>
      <c r="C15" s="4" t="s">
        <v>201</v>
      </c>
      <c r="D15" s="7" t="s">
        <v>165</v>
      </c>
      <c r="E15" s="4" t="s">
        <v>202</v>
      </c>
      <c r="F15" s="2" t="s">
        <v>203</v>
      </c>
      <c r="G15" s="9">
        <v>46179.0</v>
      </c>
      <c r="H15" s="9">
        <v>47274.0</v>
      </c>
      <c r="I15" s="7" t="s">
        <v>73</v>
      </c>
      <c r="J15" s="7" t="s">
        <v>97</v>
      </c>
      <c r="K15" s="13" t="str">
        <f>HYPERLINK("https://drive.google.com/file/d/1rentA9lOF5W6rYsFGBuivpxFSrWkLONB/view?usp=drive_link",C15)</f>
        <v>CMMI Maturity Level 5</v>
      </c>
      <c r="L15" s="4"/>
    </row>
    <row r="16" ht="22.5" customHeight="1">
      <c r="A16" s="4">
        <v>15.0</v>
      </c>
      <c r="B16" s="4" t="s">
        <v>204</v>
      </c>
      <c r="C16" s="4" t="s">
        <v>205</v>
      </c>
      <c r="D16" s="7" t="s">
        <v>146</v>
      </c>
      <c r="E16" s="4" t="s">
        <v>206</v>
      </c>
      <c r="F16" s="2" t="s">
        <v>208</v>
      </c>
      <c r="G16" s="9">
        <v>45135.0</v>
      </c>
      <c r="H16" s="9">
        <v>46752.0</v>
      </c>
      <c r="I16" s="7" t="s">
        <v>73</v>
      </c>
      <c r="J16" s="7" t="s">
        <v>97</v>
      </c>
      <c r="K16" s="13" t="str">
        <f>HYPERLINK("https://drive.google.com/file/d/1_Y4idYzuMQQJiWDItjbj27EPfavbvjmb/view?usp=drive_link",C16)</f>
        <v>Labor License (Chikkamagaluru)</v>
      </c>
      <c r="L16" s="4" t="s">
        <v>210</v>
      </c>
    </row>
    <row r="17" ht="22.5" customHeight="1">
      <c r="A17" s="4">
        <v>16.0</v>
      </c>
      <c r="B17" s="4" t="s">
        <v>212</v>
      </c>
      <c r="C17" s="4" t="s">
        <v>213</v>
      </c>
      <c r="D17" s="7" t="s">
        <v>146</v>
      </c>
      <c r="E17" s="4" t="s">
        <v>206</v>
      </c>
      <c r="F17" s="2" t="s">
        <v>214</v>
      </c>
      <c r="G17" s="9">
        <v>45134.0</v>
      </c>
      <c r="H17" s="9">
        <v>46752.0</v>
      </c>
      <c r="I17" s="7" t="s">
        <v>73</v>
      </c>
      <c r="J17" s="7" t="s">
        <v>97</v>
      </c>
      <c r="K17" s="13" t="str">
        <f>HYPERLINK("https://drive.google.com/file/d/1mSRUdIRsZc4TLXTz1LRuM0k8CklpKDKu/view?usp=drive_link",C17)</f>
        <v>Labor License (Bengaluru)</v>
      </c>
      <c r="L17" s="4" t="s">
        <v>210</v>
      </c>
    </row>
    <row r="18" ht="22.5" customHeight="1">
      <c r="A18" s="4">
        <v>17.0</v>
      </c>
      <c r="B18" s="4" t="s">
        <v>221</v>
      </c>
      <c r="C18" s="4" t="s">
        <v>224</v>
      </c>
      <c r="D18" s="7" t="s">
        <v>62</v>
      </c>
      <c r="E18" s="4" t="s">
        <v>117</v>
      </c>
      <c r="F18" s="2" t="s">
        <v>225</v>
      </c>
      <c r="G18" s="9">
        <v>45160.0</v>
      </c>
      <c r="H18" s="9"/>
      <c r="I18" s="7" t="s">
        <v>73</v>
      </c>
      <c r="J18" s="7" t="s">
        <v>96</v>
      </c>
      <c r="K18" s="13" t="str">
        <f>HYPERLINK("https://drive.google.com/file/d/1hWxSiUiTZ4Crot3yZ7434zjMlHdjS8Rc/view?usp=drive_link",C18)</f>
        <v>Company TAN</v>
      </c>
      <c r="L18" s="4"/>
    </row>
    <row r="19">
      <c r="F19" s="20"/>
    </row>
    <row r="20">
      <c r="F20" s="20"/>
    </row>
    <row r="21">
      <c r="F21" s="20"/>
    </row>
    <row r="22">
      <c r="F22" s="20"/>
    </row>
    <row r="23">
      <c r="F23" s="20"/>
    </row>
    <row r="24">
      <c r="F24" s="20"/>
    </row>
    <row r="25">
      <c r="F25" s="20"/>
    </row>
    <row r="26">
      <c r="F26" s="20"/>
    </row>
    <row r="27">
      <c r="F27" s="20"/>
    </row>
    <row r="28">
      <c r="F28" s="20"/>
    </row>
    <row r="29">
      <c r="F29" s="20"/>
    </row>
    <row r="30">
      <c r="F30" s="20"/>
    </row>
    <row r="31">
      <c r="F31" s="20"/>
    </row>
    <row r="32">
      <c r="F32" s="20"/>
    </row>
    <row r="33">
      <c r="F33" s="20"/>
    </row>
    <row r="34">
      <c r="F34" s="20"/>
    </row>
    <row r="35">
      <c r="F35" s="20"/>
    </row>
    <row r="36">
      <c r="F36" s="20"/>
    </row>
    <row r="37">
      <c r="F37" s="20"/>
    </row>
    <row r="38">
      <c r="F38" s="20"/>
    </row>
    <row r="39">
      <c r="F39" s="20"/>
    </row>
    <row r="40">
      <c r="F40" s="20"/>
    </row>
    <row r="41">
      <c r="F41" s="20"/>
    </row>
    <row r="42">
      <c r="F42" s="20"/>
    </row>
    <row r="43">
      <c r="F43" s="20"/>
    </row>
    <row r="44">
      <c r="F44" s="20"/>
    </row>
    <row r="45">
      <c r="F45" s="20"/>
    </row>
    <row r="46">
      <c r="F46" s="20"/>
    </row>
    <row r="47">
      <c r="F47" s="20"/>
    </row>
    <row r="48">
      <c r="F48" s="20"/>
    </row>
    <row r="49">
      <c r="F49" s="20"/>
    </row>
    <row r="50">
      <c r="F50" s="20"/>
    </row>
    <row r="51">
      <c r="F51" s="20"/>
    </row>
    <row r="52">
      <c r="F52" s="20"/>
    </row>
    <row r="53">
      <c r="F53" s="20"/>
    </row>
    <row r="54">
      <c r="F54" s="20"/>
    </row>
    <row r="55">
      <c r="F55" s="20"/>
    </row>
    <row r="56">
      <c r="F56" s="20"/>
    </row>
    <row r="57">
      <c r="F57" s="20"/>
    </row>
    <row r="58">
      <c r="F58" s="20"/>
    </row>
    <row r="59">
      <c r="F59" s="20"/>
    </row>
    <row r="60">
      <c r="F60" s="20"/>
    </row>
    <row r="61">
      <c r="F61" s="20"/>
    </row>
    <row r="62">
      <c r="F62" s="20"/>
    </row>
    <row r="63">
      <c r="F63" s="20"/>
    </row>
    <row r="64">
      <c r="F64" s="20"/>
    </row>
    <row r="65">
      <c r="F65" s="20"/>
    </row>
    <row r="66">
      <c r="F66" s="20"/>
    </row>
    <row r="67">
      <c r="F67" s="20"/>
    </row>
    <row r="68">
      <c r="F68" s="20"/>
    </row>
    <row r="69">
      <c r="F69" s="20"/>
    </row>
    <row r="70">
      <c r="F70" s="20"/>
    </row>
    <row r="71">
      <c r="F71" s="20"/>
    </row>
    <row r="72">
      <c r="F72" s="20"/>
    </row>
    <row r="73">
      <c r="F73" s="20"/>
    </row>
    <row r="74">
      <c r="F74" s="20"/>
    </row>
    <row r="75">
      <c r="F75" s="20"/>
    </row>
    <row r="76">
      <c r="F76" s="20"/>
    </row>
    <row r="77">
      <c r="F77" s="20"/>
    </row>
    <row r="78">
      <c r="F78" s="20"/>
    </row>
    <row r="79">
      <c r="F79" s="20"/>
    </row>
    <row r="80">
      <c r="F80" s="20"/>
    </row>
    <row r="81">
      <c r="F81" s="20"/>
    </row>
    <row r="82">
      <c r="F82" s="20"/>
    </row>
    <row r="83">
      <c r="F83" s="20"/>
    </row>
    <row r="84">
      <c r="F84" s="20"/>
    </row>
    <row r="85">
      <c r="F85" s="20"/>
    </row>
    <row r="86">
      <c r="F86" s="20"/>
    </row>
    <row r="87">
      <c r="F87" s="20"/>
    </row>
    <row r="88">
      <c r="F88" s="20"/>
    </row>
    <row r="89">
      <c r="F89" s="20"/>
    </row>
    <row r="90">
      <c r="F90" s="20"/>
    </row>
    <row r="91">
      <c r="F91" s="20"/>
    </row>
    <row r="92">
      <c r="F92" s="20"/>
    </row>
    <row r="93">
      <c r="F93" s="20"/>
    </row>
    <row r="94">
      <c r="F94" s="20"/>
    </row>
    <row r="95">
      <c r="F95" s="20"/>
    </row>
    <row r="96">
      <c r="F96" s="20"/>
    </row>
    <row r="97">
      <c r="F97" s="20"/>
    </row>
    <row r="98">
      <c r="F98" s="20"/>
    </row>
    <row r="99">
      <c r="F99" s="20"/>
    </row>
    <row r="100">
      <c r="F100" s="20"/>
    </row>
    <row r="101">
      <c r="F101" s="20"/>
    </row>
    <row r="102">
      <c r="F102" s="20"/>
    </row>
    <row r="103">
      <c r="F103" s="20"/>
    </row>
    <row r="104">
      <c r="F104" s="20"/>
    </row>
    <row r="105">
      <c r="F105" s="20"/>
    </row>
    <row r="106">
      <c r="F106" s="20"/>
    </row>
    <row r="107">
      <c r="F107" s="20"/>
    </row>
    <row r="108">
      <c r="F108" s="20"/>
    </row>
    <row r="109">
      <c r="F109" s="20"/>
    </row>
    <row r="110">
      <c r="F110" s="20"/>
    </row>
    <row r="111">
      <c r="F111" s="20"/>
    </row>
    <row r="112">
      <c r="F112" s="20"/>
    </row>
    <row r="113">
      <c r="F113" s="20"/>
    </row>
    <row r="114">
      <c r="F114" s="20"/>
    </row>
    <row r="115">
      <c r="F115" s="20"/>
    </row>
    <row r="116">
      <c r="F116" s="20"/>
    </row>
    <row r="117">
      <c r="F117" s="20"/>
    </row>
    <row r="118">
      <c r="F118" s="20"/>
    </row>
    <row r="119">
      <c r="F119" s="20"/>
    </row>
    <row r="120">
      <c r="F120" s="20"/>
    </row>
    <row r="121">
      <c r="F121" s="20"/>
    </row>
    <row r="122">
      <c r="F122" s="20"/>
    </row>
    <row r="123">
      <c r="F123" s="20"/>
    </row>
    <row r="124">
      <c r="F124" s="20"/>
    </row>
    <row r="125">
      <c r="F125" s="20"/>
    </row>
    <row r="126">
      <c r="F126" s="20"/>
    </row>
    <row r="127">
      <c r="F127" s="20"/>
    </row>
    <row r="128">
      <c r="F128" s="20"/>
    </row>
    <row r="129">
      <c r="F129" s="20"/>
    </row>
    <row r="130">
      <c r="F130" s="20"/>
    </row>
    <row r="131">
      <c r="F131" s="20"/>
    </row>
    <row r="132">
      <c r="F132" s="20"/>
    </row>
    <row r="133">
      <c r="F133" s="20"/>
    </row>
    <row r="134">
      <c r="F134" s="20"/>
    </row>
    <row r="135">
      <c r="F135" s="20"/>
    </row>
    <row r="136">
      <c r="F136" s="20"/>
    </row>
    <row r="137">
      <c r="F137" s="20"/>
    </row>
    <row r="138">
      <c r="F138" s="20"/>
    </row>
    <row r="139">
      <c r="F139" s="20"/>
    </row>
    <row r="140">
      <c r="F140" s="20"/>
    </row>
    <row r="141">
      <c r="F141" s="20"/>
    </row>
    <row r="142">
      <c r="F142" s="20"/>
    </row>
    <row r="143">
      <c r="F143" s="20"/>
    </row>
    <row r="144">
      <c r="F144" s="20"/>
    </row>
    <row r="145">
      <c r="F145" s="20"/>
    </row>
    <row r="146">
      <c r="F146" s="20"/>
    </row>
    <row r="147">
      <c r="F147" s="20"/>
    </row>
    <row r="148">
      <c r="F148" s="20"/>
    </row>
    <row r="149">
      <c r="F149" s="20"/>
    </row>
    <row r="150">
      <c r="F150" s="20"/>
    </row>
    <row r="151">
      <c r="F151" s="20"/>
    </row>
    <row r="152">
      <c r="F152" s="20"/>
    </row>
    <row r="153">
      <c r="F153" s="20"/>
    </row>
    <row r="154">
      <c r="F154" s="20"/>
    </row>
    <row r="155">
      <c r="F155" s="20"/>
    </row>
    <row r="156">
      <c r="F156" s="20"/>
    </row>
    <row r="157">
      <c r="F157" s="20"/>
    </row>
    <row r="158">
      <c r="F158" s="20"/>
    </row>
    <row r="159">
      <c r="F159" s="20"/>
    </row>
    <row r="160">
      <c r="F160" s="20"/>
    </row>
    <row r="161">
      <c r="F161" s="20"/>
    </row>
    <row r="162">
      <c r="F162" s="20"/>
    </row>
    <row r="163">
      <c r="F163" s="20"/>
    </row>
    <row r="164">
      <c r="F164" s="20"/>
    </row>
    <row r="165">
      <c r="F165" s="20"/>
    </row>
    <row r="166">
      <c r="F166" s="20"/>
    </row>
    <row r="167">
      <c r="F167" s="20"/>
    </row>
    <row r="168">
      <c r="F168" s="20"/>
    </row>
    <row r="169">
      <c r="F169" s="20"/>
    </row>
    <row r="170">
      <c r="F170" s="20"/>
    </row>
    <row r="171">
      <c r="F171" s="20"/>
    </row>
    <row r="172">
      <c r="F172" s="20"/>
    </row>
    <row r="173">
      <c r="F173" s="20"/>
    </row>
    <row r="174">
      <c r="F174" s="20"/>
    </row>
    <row r="175">
      <c r="F175" s="20"/>
    </row>
    <row r="176">
      <c r="F176" s="20"/>
    </row>
    <row r="177">
      <c r="F177" s="20"/>
    </row>
    <row r="178">
      <c r="F178" s="20"/>
    </row>
    <row r="179">
      <c r="F179" s="20"/>
    </row>
    <row r="180">
      <c r="F180" s="20"/>
    </row>
    <row r="181">
      <c r="F181" s="20"/>
    </row>
    <row r="182">
      <c r="F182" s="20"/>
    </row>
    <row r="183">
      <c r="F183" s="20"/>
    </row>
    <row r="184">
      <c r="F184" s="20"/>
    </row>
    <row r="185">
      <c r="F185" s="20"/>
    </row>
    <row r="186">
      <c r="F186" s="20"/>
    </row>
    <row r="187">
      <c r="F187" s="20"/>
    </row>
    <row r="188">
      <c r="F188" s="20"/>
    </row>
    <row r="189">
      <c r="F189" s="20"/>
    </row>
    <row r="190">
      <c r="F190" s="20"/>
    </row>
    <row r="191">
      <c r="F191" s="20"/>
    </row>
    <row r="192">
      <c r="F192" s="20"/>
    </row>
    <row r="193">
      <c r="F193" s="20"/>
    </row>
    <row r="194">
      <c r="F194" s="20"/>
    </row>
    <row r="195">
      <c r="F195" s="20"/>
    </row>
    <row r="196">
      <c r="F196" s="20"/>
    </row>
    <row r="197">
      <c r="F197" s="20"/>
    </row>
    <row r="198">
      <c r="F198" s="20"/>
    </row>
    <row r="199">
      <c r="F199" s="20"/>
    </row>
    <row r="200">
      <c r="F200" s="20"/>
    </row>
    <row r="201">
      <c r="F201" s="20"/>
    </row>
    <row r="202">
      <c r="F202" s="20"/>
    </row>
    <row r="203">
      <c r="F203" s="20"/>
    </row>
    <row r="204">
      <c r="F204" s="20"/>
    </row>
    <row r="205">
      <c r="F205" s="20"/>
    </row>
    <row r="206">
      <c r="F206" s="20"/>
    </row>
    <row r="207">
      <c r="F207" s="20"/>
    </row>
    <row r="208">
      <c r="F208" s="20"/>
    </row>
    <row r="209">
      <c r="F209" s="20"/>
    </row>
    <row r="210">
      <c r="F210" s="20"/>
    </row>
    <row r="211">
      <c r="F211" s="20"/>
    </row>
    <row r="212">
      <c r="F212" s="20"/>
    </row>
    <row r="213">
      <c r="F213" s="20"/>
    </row>
    <row r="214">
      <c r="F214" s="20"/>
    </row>
    <row r="215">
      <c r="F215" s="20"/>
    </row>
    <row r="216">
      <c r="F216" s="20"/>
    </row>
    <row r="217">
      <c r="F217" s="20"/>
    </row>
    <row r="218">
      <c r="F218" s="20"/>
    </row>
    <row r="219">
      <c r="F219" s="20"/>
    </row>
    <row r="220">
      <c r="F220" s="20"/>
    </row>
    <row r="221">
      <c r="F221" s="20"/>
    </row>
    <row r="222">
      <c r="F222" s="20"/>
    </row>
    <row r="223">
      <c r="F223" s="20"/>
    </row>
    <row r="224">
      <c r="F224" s="20"/>
    </row>
    <row r="225">
      <c r="F225" s="20"/>
    </row>
    <row r="226">
      <c r="F226" s="20"/>
    </row>
    <row r="227">
      <c r="F227" s="20"/>
    </row>
    <row r="228">
      <c r="F228" s="20"/>
    </row>
    <row r="229">
      <c r="F229" s="20"/>
    </row>
    <row r="230">
      <c r="F230" s="20"/>
    </row>
    <row r="231">
      <c r="F231" s="20"/>
    </row>
    <row r="232">
      <c r="F232" s="20"/>
    </row>
    <row r="233">
      <c r="F233" s="20"/>
    </row>
    <row r="234">
      <c r="F234" s="20"/>
    </row>
    <row r="235">
      <c r="F235" s="20"/>
    </row>
    <row r="236">
      <c r="F236" s="20"/>
    </row>
    <row r="237">
      <c r="F237" s="20"/>
    </row>
    <row r="238">
      <c r="F238" s="20"/>
    </row>
    <row r="239">
      <c r="F239" s="20"/>
    </row>
    <row r="240">
      <c r="F240" s="20"/>
    </row>
    <row r="241">
      <c r="F241" s="20"/>
    </row>
    <row r="242">
      <c r="F242" s="20"/>
    </row>
    <row r="243">
      <c r="F243" s="20"/>
    </row>
    <row r="244">
      <c r="F244" s="20"/>
    </row>
    <row r="245">
      <c r="F245" s="20"/>
    </row>
    <row r="246">
      <c r="F246" s="20"/>
    </row>
    <row r="247">
      <c r="F247" s="20"/>
    </row>
    <row r="248">
      <c r="F248" s="20"/>
    </row>
    <row r="249">
      <c r="F249" s="20"/>
    </row>
    <row r="250">
      <c r="F250" s="20"/>
    </row>
    <row r="251">
      <c r="F251" s="20"/>
    </row>
    <row r="252">
      <c r="F252" s="20"/>
    </row>
    <row r="253">
      <c r="F253" s="20"/>
    </row>
    <row r="254">
      <c r="F254" s="20"/>
    </row>
    <row r="255">
      <c r="F255" s="20"/>
    </row>
    <row r="256">
      <c r="F256" s="20"/>
    </row>
    <row r="257">
      <c r="F257" s="20"/>
    </row>
    <row r="258">
      <c r="F258" s="20"/>
    </row>
    <row r="259">
      <c r="F259" s="20"/>
    </row>
    <row r="260">
      <c r="F260" s="20"/>
    </row>
    <row r="261">
      <c r="F261" s="20"/>
    </row>
    <row r="262">
      <c r="F262" s="20"/>
    </row>
    <row r="263">
      <c r="F263" s="20"/>
    </row>
    <row r="264">
      <c r="F264" s="20"/>
    </row>
    <row r="265">
      <c r="F265" s="20"/>
    </row>
    <row r="266">
      <c r="F266" s="20"/>
    </row>
    <row r="267">
      <c r="F267" s="20"/>
    </row>
    <row r="268">
      <c r="F268" s="20"/>
    </row>
    <row r="269">
      <c r="F269" s="20"/>
    </row>
    <row r="270">
      <c r="F270" s="20"/>
    </row>
    <row r="271">
      <c r="F271" s="20"/>
    </row>
    <row r="272">
      <c r="F272" s="20"/>
    </row>
    <row r="273">
      <c r="F273" s="20"/>
    </row>
    <row r="274">
      <c r="F274" s="20"/>
    </row>
    <row r="275">
      <c r="F275" s="20"/>
    </row>
    <row r="276">
      <c r="F276" s="20"/>
    </row>
    <row r="277">
      <c r="F277" s="20"/>
    </row>
    <row r="278">
      <c r="F278" s="20"/>
    </row>
    <row r="279">
      <c r="F279" s="20"/>
    </row>
    <row r="280">
      <c r="F280" s="20"/>
    </row>
    <row r="281">
      <c r="F281" s="20"/>
    </row>
    <row r="282">
      <c r="F282" s="20"/>
    </row>
    <row r="283">
      <c r="F283" s="20"/>
    </row>
    <row r="284">
      <c r="F284" s="20"/>
    </row>
    <row r="285">
      <c r="F285" s="20"/>
    </row>
    <row r="286">
      <c r="F286" s="20"/>
    </row>
    <row r="287">
      <c r="F287" s="20"/>
    </row>
    <row r="288">
      <c r="F288" s="20"/>
    </row>
    <row r="289">
      <c r="F289" s="20"/>
    </row>
    <row r="290">
      <c r="F290" s="20"/>
    </row>
    <row r="291">
      <c r="F291" s="20"/>
    </row>
    <row r="292">
      <c r="F292" s="20"/>
    </row>
    <row r="293">
      <c r="F293" s="20"/>
    </row>
    <row r="294">
      <c r="F294" s="20"/>
    </row>
    <row r="295">
      <c r="F295" s="20"/>
    </row>
    <row r="296">
      <c r="F296" s="20"/>
    </row>
    <row r="297">
      <c r="F297" s="20"/>
    </row>
    <row r="298">
      <c r="F298" s="20"/>
    </row>
    <row r="299">
      <c r="F299" s="20"/>
    </row>
    <row r="300">
      <c r="F300" s="20"/>
    </row>
    <row r="301">
      <c r="F301" s="20"/>
    </row>
    <row r="302">
      <c r="F302" s="20"/>
    </row>
    <row r="303">
      <c r="F303" s="20"/>
    </row>
    <row r="304">
      <c r="F304" s="20"/>
    </row>
    <row r="305">
      <c r="F305" s="20"/>
    </row>
    <row r="306">
      <c r="F306" s="20"/>
    </row>
    <row r="307">
      <c r="F307" s="20"/>
    </row>
    <row r="308">
      <c r="F308" s="20"/>
    </row>
    <row r="309">
      <c r="F309" s="20"/>
    </row>
    <row r="310">
      <c r="F310" s="20"/>
    </row>
    <row r="311">
      <c r="F311" s="20"/>
    </row>
    <row r="312">
      <c r="F312" s="20"/>
    </row>
    <row r="313">
      <c r="F313" s="20"/>
    </row>
    <row r="314">
      <c r="F314" s="20"/>
    </row>
    <row r="315">
      <c r="F315" s="20"/>
    </row>
    <row r="316">
      <c r="F316" s="20"/>
    </row>
    <row r="317">
      <c r="F317" s="20"/>
    </row>
    <row r="318">
      <c r="F318" s="20"/>
    </row>
    <row r="319">
      <c r="F319" s="20"/>
    </row>
    <row r="320">
      <c r="F320" s="20"/>
    </row>
    <row r="321">
      <c r="F321" s="20"/>
    </row>
    <row r="322">
      <c r="F322" s="20"/>
    </row>
    <row r="323">
      <c r="F323" s="20"/>
    </row>
    <row r="324">
      <c r="F324" s="20"/>
    </row>
    <row r="325">
      <c r="F325" s="20"/>
    </row>
    <row r="326">
      <c r="F326" s="20"/>
    </row>
    <row r="327">
      <c r="F327" s="20"/>
    </row>
    <row r="328">
      <c r="F328" s="20"/>
    </row>
    <row r="329">
      <c r="F329" s="20"/>
    </row>
    <row r="330">
      <c r="F330" s="20"/>
    </row>
    <row r="331">
      <c r="F331" s="20"/>
    </row>
    <row r="332">
      <c r="F332" s="20"/>
    </row>
    <row r="333">
      <c r="F333" s="20"/>
    </row>
    <row r="334">
      <c r="F334" s="20"/>
    </row>
    <row r="335">
      <c r="F335" s="20"/>
    </row>
    <row r="336">
      <c r="F336" s="20"/>
    </row>
    <row r="337">
      <c r="F337" s="20"/>
    </row>
    <row r="338">
      <c r="F338" s="20"/>
    </row>
    <row r="339">
      <c r="F339" s="20"/>
    </row>
    <row r="340">
      <c r="F340" s="20"/>
    </row>
    <row r="341">
      <c r="F341" s="20"/>
    </row>
    <row r="342">
      <c r="F342" s="20"/>
    </row>
    <row r="343">
      <c r="F343" s="20"/>
    </row>
    <row r="344">
      <c r="F344" s="20"/>
    </row>
    <row r="345">
      <c r="F345" s="20"/>
    </row>
    <row r="346">
      <c r="F346" s="20"/>
    </row>
    <row r="347">
      <c r="F347" s="20"/>
    </row>
    <row r="348">
      <c r="F348" s="20"/>
    </row>
    <row r="349">
      <c r="F349" s="20"/>
    </row>
    <row r="350">
      <c r="F350" s="20"/>
    </row>
    <row r="351">
      <c r="F351" s="20"/>
    </row>
    <row r="352">
      <c r="F352" s="20"/>
    </row>
    <row r="353">
      <c r="F353" s="20"/>
    </row>
    <row r="354">
      <c r="F354" s="20"/>
    </row>
    <row r="355">
      <c r="F355" s="20"/>
    </row>
    <row r="356">
      <c r="F356" s="20"/>
    </row>
    <row r="357">
      <c r="F357" s="20"/>
    </row>
    <row r="358">
      <c r="F358" s="20"/>
    </row>
    <row r="359">
      <c r="F359" s="20"/>
    </row>
    <row r="360">
      <c r="F360" s="20"/>
    </row>
    <row r="361">
      <c r="F361" s="20"/>
    </row>
    <row r="362">
      <c r="F362" s="20"/>
    </row>
    <row r="363">
      <c r="F363" s="20"/>
    </row>
    <row r="364">
      <c r="F364" s="20"/>
    </row>
    <row r="365">
      <c r="F365" s="20"/>
    </row>
    <row r="366">
      <c r="F366" s="20"/>
    </row>
    <row r="367">
      <c r="F367" s="20"/>
    </row>
    <row r="368">
      <c r="F368" s="20"/>
    </row>
    <row r="369">
      <c r="F369" s="20"/>
    </row>
    <row r="370">
      <c r="F370" s="20"/>
    </row>
    <row r="371">
      <c r="F371" s="20"/>
    </row>
    <row r="372">
      <c r="F372" s="20"/>
    </row>
    <row r="373">
      <c r="F373" s="20"/>
    </row>
    <row r="374">
      <c r="F374" s="20"/>
    </row>
    <row r="375">
      <c r="F375" s="20"/>
    </row>
    <row r="376">
      <c r="F376" s="20"/>
    </row>
    <row r="377">
      <c r="F377" s="20"/>
    </row>
    <row r="378">
      <c r="F378" s="20"/>
    </row>
    <row r="379">
      <c r="F379" s="20"/>
    </row>
    <row r="380">
      <c r="F380" s="20"/>
    </row>
    <row r="381">
      <c r="F381" s="20"/>
    </row>
    <row r="382">
      <c r="F382" s="20"/>
    </row>
    <row r="383">
      <c r="F383" s="20"/>
    </row>
    <row r="384">
      <c r="F384" s="20"/>
    </row>
    <row r="385">
      <c r="F385" s="20"/>
    </row>
    <row r="386">
      <c r="F386" s="20"/>
    </row>
    <row r="387">
      <c r="F387" s="20"/>
    </row>
    <row r="388">
      <c r="F388" s="20"/>
    </row>
    <row r="389">
      <c r="F389" s="20"/>
    </row>
    <row r="390">
      <c r="F390" s="20"/>
    </row>
    <row r="391">
      <c r="F391" s="20"/>
    </row>
    <row r="392">
      <c r="F392" s="20"/>
    </row>
    <row r="393">
      <c r="F393" s="20"/>
    </row>
    <row r="394">
      <c r="F394" s="20"/>
    </row>
    <row r="395">
      <c r="F395" s="20"/>
    </row>
    <row r="396">
      <c r="F396" s="20"/>
    </row>
    <row r="397">
      <c r="F397" s="20"/>
    </row>
    <row r="398">
      <c r="F398" s="20"/>
    </row>
    <row r="399">
      <c r="F399" s="20"/>
    </row>
    <row r="400">
      <c r="F400" s="20"/>
    </row>
    <row r="401">
      <c r="F401" s="20"/>
    </row>
    <row r="402">
      <c r="F402" s="20"/>
    </row>
    <row r="403">
      <c r="F403" s="20"/>
    </row>
    <row r="404">
      <c r="F404" s="20"/>
    </row>
    <row r="405">
      <c r="F405" s="20"/>
    </row>
    <row r="406">
      <c r="F406" s="20"/>
    </row>
    <row r="407">
      <c r="F407" s="20"/>
    </row>
    <row r="408">
      <c r="F408" s="20"/>
    </row>
    <row r="409">
      <c r="F409" s="20"/>
    </row>
    <row r="410">
      <c r="F410" s="20"/>
    </row>
    <row r="411">
      <c r="F411" s="20"/>
    </row>
    <row r="412">
      <c r="F412" s="20"/>
    </row>
    <row r="413">
      <c r="F413" s="20"/>
    </row>
    <row r="414">
      <c r="F414" s="20"/>
    </row>
    <row r="415">
      <c r="F415" s="20"/>
    </row>
    <row r="416">
      <c r="F416" s="20"/>
    </row>
    <row r="417">
      <c r="F417" s="20"/>
    </row>
    <row r="418">
      <c r="F418" s="20"/>
    </row>
    <row r="419">
      <c r="F419" s="20"/>
    </row>
    <row r="420">
      <c r="F420" s="20"/>
    </row>
    <row r="421">
      <c r="F421" s="20"/>
    </row>
    <row r="422">
      <c r="F422" s="20"/>
    </row>
    <row r="423">
      <c r="F423" s="20"/>
    </row>
    <row r="424">
      <c r="F424" s="20"/>
    </row>
    <row r="425">
      <c r="F425" s="20"/>
    </row>
    <row r="426">
      <c r="F426" s="20"/>
    </row>
    <row r="427">
      <c r="F427" s="20"/>
    </row>
    <row r="428">
      <c r="F428" s="20"/>
    </row>
    <row r="429">
      <c r="F429" s="20"/>
    </row>
    <row r="430">
      <c r="F430" s="20"/>
    </row>
    <row r="431">
      <c r="F431" s="20"/>
    </row>
    <row r="432">
      <c r="F432" s="20"/>
    </row>
    <row r="433">
      <c r="F433" s="20"/>
    </row>
    <row r="434">
      <c r="F434" s="20"/>
    </row>
    <row r="435">
      <c r="F435" s="20"/>
    </row>
    <row r="436">
      <c r="F436" s="20"/>
    </row>
    <row r="437">
      <c r="F437" s="20"/>
    </row>
    <row r="438">
      <c r="F438" s="20"/>
    </row>
    <row r="439">
      <c r="F439" s="20"/>
    </row>
    <row r="440">
      <c r="F440" s="20"/>
    </row>
    <row r="441">
      <c r="F441" s="20"/>
    </row>
    <row r="442">
      <c r="F442" s="20"/>
    </row>
    <row r="443">
      <c r="F443" s="20"/>
    </row>
    <row r="444">
      <c r="F444" s="20"/>
    </row>
    <row r="445">
      <c r="F445" s="20"/>
    </row>
    <row r="446">
      <c r="F446" s="20"/>
    </row>
    <row r="447">
      <c r="F447" s="20"/>
    </row>
    <row r="448">
      <c r="F448" s="20"/>
    </row>
    <row r="449">
      <c r="F449" s="20"/>
    </row>
    <row r="450">
      <c r="F450" s="20"/>
    </row>
    <row r="451">
      <c r="F451" s="20"/>
    </row>
    <row r="452">
      <c r="F452" s="20"/>
    </row>
    <row r="453">
      <c r="F453" s="20"/>
    </row>
    <row r="454">
      <c r="F454" s="20"/>
    </row>
    <row r="455">
      <c r="F455" s="20"/>
    </row>
    <row r="456">
      <c r="F456" s="20"/>
    </row>
    <row r="457">
      <c r="F457" s="20"/>
    </row>
    <row r="458">
      <c r="F458" s="20"/>
    </row>
    <row r="459">
      <c r="F459" s="20"/>
    </row>
    <row r="460">
      <c r="F460" s="20"/>
    </row>
    <row r="461">
      <c r="F461" s="20"/>
    </row>
    <row r="462">
      <c r="F462" s="20"/>
    </row>
    <row r="463">
      <c r="F463" s="20"/>
    </row>
    <row r="464">
      <c r="F464" s="20"/>
    </row>
    <row r="465">
      <c r="F465" s="20"/>
    </row>
    <row r="466">
      <c r="F466" s="20"/>
    </row>
    <row r="467">
      <c r="F467" s="20"/>
    </row>
    <row r="468">
      <c r="F468" s="20"/>
    </row>
    <row r="469">
      <c r="F469" s="20"/>
    </row>
    <row r="470">
      <c r="F470" s="20"/>
    </row>
    <row r="471">
      <c r="F471" s="20"/>
    </row>
    <row r="472">
      <c r="F472" s="20"/>
    </row>
    <row r="473">
      <c r="F473" s="20"/>
    </row>
    <row r="474">
      <c r="F474" s="20"/>
    </row>
    <row r="475">
      <c r="F475" s="20"/>
    </row>
    <row r="476">
      <c r="F476" s="20"/>
    </row>
    <row r="477">
      <c r="F477" s="20"/>
    </row>
    <row r="478">
      <c r="F478" s="20"/>
    </row>
    <row r="479">
      <c r="F479" s="20"/>
    </row>
    <row r="480">
      <c r="F480" s="20"/>
    </row>
    <row r="481">
      <c r="F481" s="20"/>
    </row>
    <row r="482">
      <c r="F482" s="20"/>
    </row>
    <row r="483">
      <c r="F483" s="20"/>
    </row>
    <row r="484">
      <c r="F484" s="20"/>
    </row>
    <row r="485">
      <c r="F485" s="20"/>
    </row>
    <row r="486">
      <c r="F486" s="20"/>
    </row>
    <row r="487">
      <c r="F487" s="20"/>
    </row>
    <row r="488">
      <c r="F488" s="20"/>
    </row>
    <row r="489">
      <c r="F489" s="20"/>
    </row>
    <row r="490">
      <c r="F490" s="20"/>
    </row>
    <row r="491">
      <c r="F491" s="20"/>
    </row>
    <row r="492">
      <c r="F492" s="20"/>
    </row>
    <row r="493">
      <c r="F493" s="20"/>
    </row>
    <row r="494">
      <c r="F494" s="20"/>
    </row>
    <row r="495">
      <c r="F495" s="20"/>
    </row>
    <row r="496">
      <c r="F496" s="20"/>
    </row>
    <row r="497">
      <c r="F497" s="20"/>
    </row>
    <row r="498">
      <c r="F498" s="20"/>
    </row>
    <row r="499">
      <c r="F499" s="20"/>
    </row>
    <row r="500">
      <c r="F500" s="20"/>
    </row>
    <row r="501">
      <c r="F501" s="20"/>
    </row>
    <row r="502">
      <c r="F502" s="20"/>
    </row>
    <row r="503">
      <c r="F503" s="20"/>
    </row>
    <row r="504">
      <c r="F504" s="20"/>
    </row>
    <row r="505">
      <c r="F505" s="20"/>
    </row>
    <row r="506">
      <c r="F506" s="20"/>
    </row>
    <row r="507">
      <c r="F507" s="20"/>
    </row>
    <row r="508">
      <c r="F508" s="20"/>
    </row>
    <row r="509">
      <c r="F509" s="20"/>
    </row>
    <row r="510">
      <c r="F510" s="20"/>
    </row>
    <row r="511">
      <c r="F511" s="20"/>
    </row>
    <row r="512">
      <c r="F512" s="20"/>
    </row>
    <row r="513">
      <c r="F513" s="20"/>
    </row>
    <row r="514">
      <c r="F514" s="20"/>
    </row>
    <row r="515">
      <c r="F515" s="20"/>
    </row>
    <row r="516">
      <c r="F516" s="20"/>
    </row>
    <row r="517">
      <c r="F517" s="20"/>
    </row>
    <row r="518">
      <c r="F518" s="20"/>
    </row>
    <row r="519">
      <c r="F519" s="20"/>
    </row>
    <row r="520">
      <c r="F520" s="20"/>
    </row>
    <row r="521">
      <c r="F521" s="20"/>
    </row>
    <row r="522">
      <c r="F522" s="20"/>
    </row>
    <row r="523">
      <c r="F523" s="20"/>
    </row>
    <row r="524">
      <c r="F524" s="20"/>
    </row>
    <row r="525">
      <c r="F525" s="20"/>
    </row>
    <row r="526">
      <c r="F526" s="20"/>
    </row>
    <row r="527">
      <c r="F527" s="20"/>
    </row>
    <row r="528">
      <c r="F528" s="20"/>
    </row>
    <row r="529">
      <c r="F529" s="20"/>
    </row>
    <row r="530">
      <c r="F530" s="20"/>
    </row>
    <row r="531">
      <c r="F531" s="20"/>
    </row>
    <row r="532">
      <c r="F532" s="20"/>
    </row>
    <row r="533">
      <c r="F533" s="20"/>
    </row>
    <row r="534">
      <c r="F534" s="20"/>
    </row>
    <row r="535">
      <c r="F535" s="20"/>
    </row>
    <row r="536">
      <c r="F536" s="20"/>
    </row>
    <row r="537">
      <c r="F537" s="20"/>
    </row>
    <row r="538">
      <c r="F538" s="20"/>
    </row>
    <row r="539">
      <c r="F539" s="20"/>
    </row>
    <row r="540">
      <c r="F540" s="20"/>
    </row>
    <row r="541">
      <c r="F541" s="20"/>
    </row>
    <row r="542">
      <c r="F542" s="20"/>
    </row>
    <row r="543">
      <c r="F543" s="20"/>
    </row>
    <row r="544">
      <c r="F544" s="20"/>
    </row>
    <row r="545">
      <c r="F545" s="20"/>
    </row>
    <row r="546">
      <c r="F546" s="20"/>
    </row>
    <row r="547">
      <c r="F547" s="20"/>
    </row>
    <row r="548">
      <c r="F548" s="20"/>
    </row>
    <row r="549">
      <c r="F549" s="20"/>
    </row>
    <row r="550">
      <c r="F550" s="20"/>
    </row>
    <row r="551">
      <c r="F551" s="20"/>
    </row>
    <row r="552">
      <c r="F552" s="20"/>
    </row>
    <row r="553">
      <c r="F553" s="20"/>
    </row>
    <row r="554">
      <c r="F554" s="20"/>
    </row>
    <row r="555">
      <c r="F555" s="20"/>
    </row>
    <row r="556">
      <c r="F556" s="20"/>
    </row>
    <row r="557">
      <c r="F557" s="20"/>
    </row>
    <row r="558">
      <c r="F558" s="20"/>
    </row>
    <row r="559">
      <c r="F559" s="20"/>
    </row>
    <row r="560">
      <c r="F560" s="20"/>
    </row>
    <row r="561">
      <c r="F561" s="20"/>
    </row>
    <row r="562">
      <c r="F562" s="20"/>
    </row>
    <row r="563">
      <c r="F563" s="20"/>
    </row>
    <row r="564">
      <c r="F564" s="20"/>
    </row>
    <row r="565">
      <c r="F565" s="20"/>
    </row>
    <row r="566">
      <c r="F566" s="20"/>
    </row>
    <row r="567">
      <c r="F567" s="20"/>
    </row>
    <row r="568">
      <c r="F568" s="20"/>
    </row>
    <row r="569">
      <c r="F569" s="20"/>
    </row>
    <row r="570">
      <c r="F570" s="20"/>
    </row>
    <row r="571">
      <c r="F571" s="20"/>
    </row>
    <row r="572">
      <c r="F572" s="20"/>
    </row>
    <row r="573">
      <c r="F573" s="20"/>
    </row>
    <row r="574">
      <c r="F574" s="20"/>
    </row>
    <row r="575">
      <c r="F575" s="20"/>
    </row>
    <row r="576">
      <c r="F576" s="20"/>
    </row>
    <row r="577">
      <c r="F577" s="20"/>
    </row>
    <row r="578">
      <c r="F578" s="20"/>
    </row>
    <row r="579">
      <c r="F579" s="20"/>
    </row>
    <row r="580">
      <c r="F580" s="20"/>
    </row>
    <row r="581">
      <c r="F581" s="20"/>
    </row>
    <row r="582">
      <c r="F582" s="20"/>
    </row>
    <row r="583">
      <c r="F583" s="20"/>
    </row>
    <row r="584">
      <c r="F584" s="20"/>
    </row>
    <row r="585">
      <c r="F585" s="20"/>
    </row>
    <row r="586">
      <c r="F586" s="20"/>
    </row>
    <row r="587">
      <c r="F587" s="20"/>
    </row>
    <row r="588">
      <c r="F588" s="20"/>
    </row>
    <row r="589">
      <c r="F589" s="20"/>
    </row>
    <row r="590">
      <c r="F590" s="20"/>
    </row>
    <row r="591">
      <c r="F591" s="20"/>
    </row>
    <row r="592">
      <c r="F592" s="20"/>
    </row>
    <row r="593">
      <c r="F593" s="20"/>
    </row>
    <row r="594">
      <c r="F594" s="20"/>
    </row>
    <row r="595">
      <c r="F595" s="20"/>
    </row>
    <row r="596">
      <c r="F596" s="20"/>
    </row>
    <row r="597">
      <c r="F597" s="20"/>
    </row>
    <row r="598">
      <c r="F598" s="20"/>
    </row>
    <row r="599">
      <c r="F599" s="20"/>
    </row>
    <row r="600">
      <c r="F600" s="20"/>
    </row>
    <row r="601">
      <c r="F601" s="20"/>
    </row>
    <row r="602">
      <c r="F602" s="20"/>
    </row>
    <row r="603">
      <c r="F603" s="20"/>
    </row>
    <row r="604">
      <c r="F604" s="20"/>
    </row>
    <row r="605">
      <c r="F605" s="20"/>
    </row>
    <row r="606">
      <c r="F606" s="20"/>
    </row>
    <row r="607">
      <c r="F607" s="20"/>
    </row>
    <row r="608">
      <c r="F608" s="20"/>
    </row>
    <row r="609">
      <c r="F609" s="20"/>
    </row>
    <row r="610">
      <c r="F610" s="20"/>
    </row>
    <row r="611">
      <c r="F611" s="20"/>
    </row>
    <row r="612">
      <c r="F612" s="20"/>
    </row>
    <row r="613">
      <c r="F613" s="20"/>
    </row>
    <row r="614">
      <c r="F614" s="20"/>
    </row>
    <row r="615">
      <c r="F615" s="20"/>
    </row>
    <row r="616">
      <c r="F616" s="20"/>
    </row>
    <row r="617">
      <c r="F617" s="20"/>
    </row>
    <row r="618">
      <c r="F618" s="20"/>
    </row>
    <row r="619">
      <c r="F619" s="20"/>
    </row>
    <row r="620">
      <c r="F620" s="20"/>
    </row>
    <row r="621">
      <c r="F621" s="20"/>
    </row>
    <row r="622">
      <c r="F622" s="20"/>
    </row>
    <row r="623">
      <c r="F623" s="20"/>
    </row>
    <row r="624">
      <c r="F624" s="20"/>
    </row>
    <row r="625">
      <c r="F625" s="20"/>
    </row>
    <row r="626">
      <c r="F626" s="20"/>
    </row>
    <row r="627">
      <c r="F627" s="20"/>
    </row>
    <row r="628">
      <c r="F628" s="20"/>
    </row>
    <row r="629">
      <c r="F629" s="20"/>
    </row>
    <row r="630">
      <c r="F630" s="20"/>
    </row>
    <row r="631">
      <c r="F631" s="20"/>
    </row>
    <row r="632">
      <c r="F632" s="20"/>
    </row>
    <row r="633">
      <c r="F633" s="20"/>
    </row>
    <row r="634">
      <c r="F634" s="20"/>
    </row>
    <row r="635">
      <c r="F635" s="20"/>
    </row>
    <row r="636">
      <c r="F636" s="20"/>
    </row>
    <row r="637">
      <c r="F637" s="20"/>
    </row>
    <row r="638">
      <c r="F638" s="20"/>
    </row>
    <row r="639">
      <c r="F639" s="20"/>
    </row>
    <row r="640">
      <c r="F640" s="20"/>
    </row>
    <row r="641">
      <c r="F641" s="20"/>
    </row>
    <row r="642">
      <c r="F642" s="20"/>
    </row>
    <row r="643">
      <c r="F643" s="20"/>
    </row>
    <row r="644">
      <c r="F644" s="20"/>
    </row>
    <row r="645">
      <c r="F645" s="20"/>
    </row>
    <row r="646">
      <c r="F646" s="20"/>
    </row>
    <row r="647">
      <c r="F647" s="20"/>
    </row>
    <row r="648">
      <c r="F648" s="20"/>
    </row>
    <row r="649">
      <c r="F649" s="20"/>
    </row>
    <row r="650">
      <c r="F650" s="20"/>
    </row>
    <row r="651">
      <c r="F651" s="20"/>
    </row>
    <row r="652">
      <c r="F652" s="20"/>
    </row>
    <row r="653">
      <c r="F653" s="20"/>
    </row>
    <row r="654">
      <c r="F654" s="20"/>
    </row>
    <row r="655">
      <c r="F655" s="20"/>
    </row>
    <row r="656">
      <c r="F656" s="20"/>
    </row>
    <row r="657">
      <c r="F657" s="20"/>
    </row>
    <row r="658">
      <c r="F658" s="20"/>
    </row>
    <row r="659">
      <c r="F659" s="20"/>
    </row>
    <row r="660">
      <c r="F660" s="20"/>
    </row>
    <row r="661">
      <c r="F661" s="20"/>
    </row>
    <row r="662">
      <c r="F662" s="20"/>
    </row>
    <row r="663">
      <c r="F663" s="20"/>
    </row>
    <row r="664">
      <c r="F664" s="20"/>
    </row>
    <row r="665">
      <c r="F665" s="20"/>
    </row>
    <row r="666">
      <c r="F666" s="20"/>
    </row>
    <row r="667">
      <c r="F667" s="20"/>
    </row>
    <row r="668">
      <c r="F668" s="20"/>
    </row>
    <row r="669">
      <c r="F669" s="20"/>
    </row>
    <row r="670">
      <c r="F670" s="20"/>
    </row>
    <row r="671">
      <c r="F671" s="20"/>
    </row>
    <row r="672">
      <c r="F672" s="20"/>
    </row>
    <row r="673">
      <c r="F673" s="20"/>
    </row>
    <row r="674">
      <c r="F674" s="20"/>
    </row>
    <row r="675">
      <c r="F675" s="20"/>
    </row>
    <row r="676">
      <c r="F676" s="20"/>
    </row>
    <row r="677">
      <c r="F677" s="20"/>
    </row>
    <row r="678">
      <c r="F678" s="20"/>
    </row>
    <row r="679">
      <c r="F679" s="20"/>
    </row>
    <row r="680">
      <c r="F680" s="20"/>
    </row>
    <row r="681">
      <c r="F681" s="20"/>
    </row>
    <row r="682">
      <c r="F682" s="20"/>
    </row>
    <row r="683">
      <c r="F683" s="20"/>
    </row>
    <row r="684">
      <c r="F684" s="20"/>
    </row>
    <row r="685">
      <c r="F685" s="20"/>
    </row>
    <row r="686">
      <c r="F686" s="20"/>
    </row>
    <row r="687">
      <c r="F687" s="20"/>
    </row>
    <row r="688">
      <c r="F688" s="20"/>
    </row>
    <row r="689">
      <c r="F689" s="20"/>
    </row>
    <row r="690">
      <c r="F690" s="20"/>
    </row>
    <row r="691">
      <c r="F691" s="20"/>
    </row>
    <row r="692">
      <c r="F692" s="20"/>
    </row>
    <row r="693">
      <c r="F693" s="20"/>
    </row>
    <row r="694">
      <c r="F694" s="20"/>
    </row>
    <row r="695">
      <c r="F695" s="20"/>
    </row>
    <row r="696">
      <c r="F696" s="20"/>
    </row>
    <row r="697">
      <c r="F697" s="20"/>
    </row>
    <row r="698">
      <c r="F698" s="20"/>
    </row>
    <row r="699">
      <c r="F699" s="20"/>
    </row>
    <row r="700">
      <c r="F700" s="20"/>
    </row>
    <row r="701">
      <c r="F701" s="20"/>
    </row>
    <row r="702">
      <c r="F702" s="20"/>
    </row>
    <row r="703">
      <c r="F703" s="20"/>
    </row>
    <row r="704">
      <c r="F704" s="20"/>
    </row>
    <row r="705">
      <c r="F705" s="20"/>
    </row>
    <row r="706">
      <c r="F706" s="20"/>
    </row>
    <row r="707">
      <c r="F707" s="20"/>
    </row>
    <row r="708">
      <c r="F708" s="20"/>
    </row>
    <row r="709">
      <c r="F709" s="20"/>
    </row>
    <row r="710">
      <c r="F710" s="20"/>
    </row>
    <row r="711">
      <c r="F711" s="20"/>
    </row>
    <row r="712">
      <c r="F712" s="20"/>
    </row>
    <row r="713">
      <c r="F713" s="20"/>
    </row>
    <row r="714">
      <c r="F714" s="20"/>
    </row>
    <row r="715">
      <c r="F715" s="20"/>
    </row>
    <row r="716">
      <c r="F716" s="20"/>
    </row>
    <row r="717">
      <c r="F717" s="20"/>
    </row>
    <row r="718">
      <c r="F718" s="20"/>
    </row>
    <row r="719">
      <c r="F719" s="20"/>
    </row>
    <row r="720">
      <c r="F720" s="20"/>
    </row>
    <row r="721">
      <c r="F721" s="20"/>
    </row>
    <row r="722">
      <c r="F722" s="20"/>
    </row>
    <row r="723">
      <c r="F723" s="20"/>
    </row>
    <row r="724">
      <c r="F724" s="20"/>
    </row>
    <row r="725">
      <c r="F725" s="20"/>
    </row>
    <row r="726">
      <c r="F726" s="20"/>
    </row>
    <row r="727">
      <c r="F727" s="20"/>
    </row>
    <row r="728">
      <c r="F728" s="20"/>
    </row>
    <row r="729">
      <c r="F729" s="20"/>
    </row>
    <row r="730">
      <c r="F730" s="20"/>
    </row>
    <row r="731">
      <c r="F731" s="20"/>
    </row>
    <row r="732">
      <c r="F732" s="20"/>
    </row>
    <row r="733">
      <c r="F733" s="20"/>
    </row>
    <row r="734">
      <c r="F734" s="20"/>
    </row>
    <row r="735">
      <c r="F735" s="20"/>
    </row>
    <row r="736">
      <c r="F736" s="20"/>
    </row>
    <row r="737">
      <c r="F737" s="20"/>
    </row>
    <row r="738">
      <c r="F738" s="20"/>
    </row>
    <row r="739">
      <c r="F739" s="20"/>
    </row>
    <row r="740">
      <c r="F740" s="20"/>
    </row>
    <row r="741">
      <c r="F741" s="20"/>
    </row>
    <row r="742">
      <c r="F742" s="20"/>
    </row>
    <row r="743">
      <c r="F743" s="20"/>
    </row>
    <row r="744">
      <c r="F744" s="20"/>
    </row>
    <row r="745">
      <c r="F745" s="20"/>
    </row>
    <row r="746">
      <c r="F746" s="20"/>
    </row>
    <row r="747">
      <c r="F747" s="20"/>
    </row>
    <row r="748">
      <c r="F748" s="20"/>
    </row>
    <row r="749">
      <c r="F749" s="20"/>
    </row>
    <row r="750">
      <c r="F750" s="20"/>
    </row>
    <row r="751">
      <c r="F751" s="20"/>
    </row>
    <row r="752">
      <c r="F752" s="20"/>
    </row>
    <row r="753">
      <c r="F753" s="20"/>
    </row>
    <row r="754">
      <c r="F754" s="20"/>
    </row>
    <row r="755">
      <c r="F755" s="20"/>
    </row>
    <row r="756">
      <c r="F756" s="20"/>
    </row>
    <row r="757">
      <c r="F757" s="20"/>
    </row>
    <row r="758">
      <c r="F758" s="20"/>
    </row>
    <row r="759">
      <c r="F759" s="20"/>
    </row>
    <row r="760">
      <c r="F760" s="20"/>
    </row>
    <row r="761">
      <c r="F761" s="20"/>
    </row>
    <row r="762">
      <c r="F762" s="20"/>
    </row>
    <row r="763">
      <c r="F763" s="20"/>
    </row>
    <row r="764">
      <c r="F764" s="20"/>
    </row>
    <row r="765">
      <c r="F765" s="20"/>
    </row>
    <row r="766">
      <c r="F766" s="20"/>
    </row>
    <row r="767">
      <c r="F767" s="20"/>
    </row>
    <row r="768">
      <c r="F768" s="20"/>
    </row>
    <row r="769">
      <c r="F769" s="20"/>
    </row>
    <row r="770">
      <c r="F770" s="20"/>
    </row>
    <row r="771">
      <c r="F771" s="20"/>
    </row>
    <row r="772">
      <c r="F772" s="20"/>
    </row>
    <row r="773">
      <c r="F773" s="20"/>
    </row>
    <row r="774">
      <c r="F774" s="20"/>
    </row>
    <row r="775">
      <c r="F775" s="20"/>
    </row>
    <row r="776">
      <c r="F776" s="20"/>
    </row>
    <row r="777">
      <c r="F777" s="20"/>
    </row>
    <row r="778">
      <c r="F778" s="20"/>
    </row>
    <row r="779">
      <c r="F779" s="20"/>
    </row>
    <row r="780">
      <c r="F780" s="20"/>
    </row>
    <row r="781">
      <c r="F781" s="20"/>
    </row>
    <row r="782">
      <c r="F782" s="20"/>
    </row>
    <row r="783">
      <c r="F783" s="20"/>
    </row>
    <row r="784">
      <c r="F784" s="20"/>
    </row>
    <row r="785">
      <c r="F785" s="20"/>
    </row>
    <row r="786">
      <c r="F786" s="20"/>
    </row>
    <row r="787">
      <c r="F787" s="20"/>
    </row>
    <row r="788">
      <c r="F788" s="20"/>
    </row>
    <row r="789">
      <c r="F789" s="20"/>
    </row>
    <row r="790">
      <c r="F790" s="20"/>
    </row>
    <row r="791">
      <c r="F791" s="20"/>
    </row>
    <row r="792">
      <c r="F792" s="20"/>
    </row>
    <row r="793">
      <c r="F793" s="20"/>
    </row>
    <row r="794">
      <c r="F794" s="20"/>
    </row>
    <row r="795">
      <c r="F795" s="20"/>
    </row>
    <row r="796">
      <c r="F796" s="20"/>
    </row>
    <row r="797">
      <c r="F797" s="20"/>
    </row>
    <row r="798">
      <c r="F798" s="20"/>
    </row>
    <row r="799">
      <c r="F799" s="20"/>
    </row>
    <row r="800">
      <c r="F800" s="20"/>
    </row>
    <row r="801">
      <c r="F801" s="20"/>
    </row>
    <row r="802">
      <c r="F802" s="20"/>
    </row>
    <row r="803">
      <c r="F803" s="20"/>
    </row>
    <row r="804">
      <c r="F804" s="20"/>
    </row>
    <row r="805">
      <c r="F805" s="20"/>
    </row>
    <row r="806">
      <c r="F806" s="20"/>
    </row>
    <row r="807">
      <c r="F807" s="20"/>
    </row>
    <row r="808">
      <c r="F808" s="20"/>
    </row>
    <row r="809">
      <c r="F809" s="20"/>
    </row>
    <row r="810">
      <c r="F810" s="20"/>
    </row>
    <row r="811">
      <c r="F811" s="20"/>
    </row>
    <row r="812">
      <c r="F812" s="20"/>
    </row>
    <row r="813">
      <c r="F813" s="20"/>
    </row>
    <row r="814">
      <c r="F814" s="20"/>
    </row>
    <row r="815">
      <c r="F815" s="20"/>
    </row>
    <row r="816">
      <c r="F816" s="20"/>
    </row>
    <row r="817">
      <c r="F817" s="20"/>
    </row>
    <row r="818">
      <c r="F818" s="20"/>
    </row>
    <row r="819">
      <c r="F819" s="20"/>
    </row>
    <row r="820">
      <c r="F820" s="20"/>
    </row>
    <row r="821">
      <c r="F821" s="20"/>
    </row>
    <row r="822">
      <c r="F822" s="20"/>
    </row>
    <row r="823">
      <c r="F823" s="20"/>
    </row>
    <row r="824">
      <c r="F824" s="20"/>
    </row>
    <row r="825">
      <c r="F825" s="20"/>
    </row>
    <row r="826">
      <c r="F826" s="20"/>
    </row>
    <row r="827">
      <c r="F827" s="20"/>
    </row>
    <row r="828">
      <c r="F828" s="20"/>
    </row>
    <row r="829">
      <c r="F829" s="20"/>
    </row>
    <row r="830">
      <c r="F830" s="20"/>
    </row>
    <row r="831">
      <c r="F831" s="20"/>
    </row>
    <row r="832">
      <c r="F832" s="20"/>
    </row>
    <row r="833">
      <c r="F833" s="20"/>
    </row>
    <row r="834">
      <c r="F834" s="20"/>
    </row>
    <row r="835">
      <c r="F835" s="20"/>
    </row>
    <row r="836">
      <c r="F836" s="20"/>
    </row>
    <row r="837">
      <c r="F837" s="20"/>
    </row>
    <row r="838">
      <c r="F838" s="20"/>
    </row>
    <row r="839">
      <c r="F839" s="20"/>
    </row>
    <row r="840">
      <c r="F840" s="20"/>
    </row>
    <row r="841">
      <c r="F841" s="20"/>
    </row>
    <row r="842">
      <c r="F842" s="20"/>
    </row>
    <row r="843">
      <c r="F843" s="20"/>
    </row>
    <row r="844">
      <c r="F844" s="20"/>
    </row>
    <row r="845">
      <c r="F845" s="20"/>
    </row>
    <row r="846">
      <c r="F846" s="20"/>
    </row>
    <row r="847">
      <c r="F847" s="20"/>
    </row>
    <row r="848">
      <c r="F848" s="20"/>
    </row>
    <row r="849">
      <c r="F849" s="20"/>
    </row>
    <row r="850">
      <c r="F850" s="20"/>
    </row>
    <row r="851">
      <c r="F851" s="20"/>
    </row>
    <row r="852">
      <c r="F852" s="20"/>
    </row>
    <row r="853">
      <c r="F853" s="20"/>
    </row>
    <row r="854">
      <c r="F854" s="20"/>
    </row>
    <row r="855">
      <c r="F855" s="20"/>
    </row>
    <row r="856">
      <c r="F856" s="20"/>
    </row>
    <row r="857">
      <c r="F857" s="20"/>
    </row>
    <row r="858">
      <c r="F858" s="20"/>
    </row>
    <row r="859">
      <c r="F859" s="20"/>
    </row>
    <row r="860">
      <c r="F860" s="20"/>
    </row>
    <row r="861">
      <c r="F861" s="20"/>
    </row>
    <row r="862">
      <c r="F862" s="20"/>
    </row>
    <row r="863">
      <c r="F863" s="20"/>
    </row>
    <row r="864">
      <c r="F864" s="20"/>
    </row>
    <row r="865">
      <c r="F865" s="20"/>
    </row>
    <row r="866">
      <c r="F866" s="20"/>
    </row>
    <row r="867">
      <c r="F867" s="20"/>
    </row>
    <row r="868">
      <c r="F868" s="20"/>
    </row>
    <row r="869">
      <c r="F869" s="20"/>
    </row>
    <row r="870">
      <c r="F870" s="20"/>
    </row>
    <row r="871">
      <c r="F871" s="20"/>
    </row>
    <row r="872">
      <c r="F872" s="20"/>
    </row>
    <row r="873">
      <c r="F873" s="20"/>
    </row>
    <row r="874">
      <c r="F874" s="20"/>
    </row>
    <row r="875">
      <c r="F875" s="20"/>
    </row>
    <row r="876">
      <c r="F876" s="20"/>
    </row>
    <row r="877">
      <c r="F877" s="20"/>
    </row>
    <row r="878">
      <c r="F878" s="20"/>
    </row>
    <row r="879">
      <c r="F879" s="20"/>
    </row>
    <row r="880">
      <c r="F880" s="20"/>
    </row>
    <row r="881">
      <c r="F881" s="20"/>
    </row>
    <row r="882">
      <c r="F882" s="20"/>
    </row>
    <row r="883">
      <c r="F883" s="20"/>
    </row>
    <row r="884">
      <c r="F884" s="20"/>
    </row>
    <row r="885">
      <c r="F885" s="20"/>
    </row>
    <row r="886">
      <c r="F886" s="20"/>
    </row>
    <row r="887">
      <c r="F887" s="20"/>
    </row>
    <row r="888">
      <c r="F888" s="20"/>
    </row>
    <row r="889">
      <c r="F889" s="20"/>
    </row>
    <row r="890">
      <c r="F890" s="20"/>
    </row>
    <row r="891">
      <c r="F891" s="20"/>
    </row>
    <row r="892">
      <c r="F892" s="20"/>
    </row>
    <row r="893">
      <c r="F893" s="20"/>
    </row>
    <row r="894">
      <c r="F894" s="20"/>
    </row>
    <row r="895">
      <c r="F895" s="20"/>
    </row>
    <row r="896">
      <c r="F896" s="20"/>
    </row>
    <row r="897">
      <c r="F897" s="20"/>
    </row>
    <row r="898">
      <c r="F898" s="20"/>
    </row>
    <row r="899">
      <c r="F899" s="20"/>
    </row>
    <row r="900">
      <c r="F900" s="20"/>
    </row>
    <row r="901">
      <c r="F901" s="20"/>
    </row>
    <row r="902">
      <c r="F902" s="20"/>
    </row>
    <row r="903">
      <c r="F903" s="20"/>
    </row>
    <row r="904">
      <c r="F904" s="20"/>
    </row>
    <row r="905">
      <c r="F905" s="20"/>
    </row>
    <row r="906">
      <c r="F906" s="20"/>
    </row>
    <row r="907">
      <c r="F907" s="20"/>
    </row>
    <row r="908">
      <c r="F908" s="20"/>
    </row>
    <row r="909">
      <c r="F909" s="20"/>
    </row>
    <row r="910">
      <c r="F910" s="20"/>
    </row>
    <row r="911">
      <c r="F911" s="20"/>
    </row>
    <row r="912">
      <c r="F912" s="20"/>
    </row>
    <row r="913">
      <c r="F913" s="20"/>
    </row>
    <row r="914">
      <c r="F914" s="20"/>
    </row>
    <row r="915">
      <c r="F915" s="20"/>
    </row>
    <row r="916">
      <c r="F916" s="20"/>
    </row>
    <row r="917">
      <c r="F917" s="20"/>
    </row>
    <row r="918">
      <c r="F918" s="20"/>
    </row>
    <row r="919">
      <c r="F919" s="20"/>
    </row>
    <row r="920">
      <c r="F920" s="20"/>
    </row>
    <row r="921">
      <c r="F921" s="20"/>
    </row>
    <row r="922">
      <c r="F922" s="20"/>
    </row>
    <row r="923">
      <c r="F923" s="20"/>
    </row>
    <row r="924">
      <c r="F924" s="20"/>
    </row>
    <row r="925">
      <c r="F925" s="20"/>
    </row>
    <row r="926">
      <c r="F926" s="20"/>
    </row>
    <row r="927">
      <c r="F927" s="20"/>
    </row>
    <row r="928">
      <c r="F928" s="20"/>
    </row>
    <row r="929">
      <c r="F929" s="20"/>
    </row>
    <row r="930">
      <c r="F930" s="20"/>
    </row>
    <row r="931">
      <c r="F931" s="20"/>
    </row>
    <row r="932">
      <c r="F932" s="20"/>
    </row>
    <row r="933">
      <c r="F933" s="20"/>
    </row>
    <row r="934">
      <c r="F934" s="20"/>
    </row>
    <row r="935">
      <c r="F935" s="20"/>
    </row>
    <row r="936">
      <c r="F936" s="20"/>
    </row>
    <row r="937">
      <c r="F937" s="20"/>
    </row>
    <row r="938">
      <c r="F938" s="20"/>
    </row>
    <row r="939">
      <c r="F939" s="20"/>
    </row>
    <row r="940">
      <c r="F940" s="20"/>
    </row>
    <row r="941">
      <c r="F941" s="20"/>
    </row>
    <row r="942">
      <c r="F942" s="20"/>
    </row>
    <row r="943">
      <c r="F943" s="20"/>
    </row>
    <row r="944">
      <c r="F944" s="20"/>
    </row>
    <row r="945">
      <c r="F945" s="20"/>
    </row>
    <row r="946">
      <c r="F946" s="20"/>
    </row>
    <row r="947">
      <c r="F947" s="20"/>
    </row>
    <row r="948">
      <c r="F948" s="20"/>
    </row>
    <row r="949">
      <c r="F949" s="20"/>
    </row>
    <row r="950">
      <c r="F950" s="20"/>
    </row>
    <row r="951">
      <c r="F951" s="20"/>
    </row>
    <row r="952">
      <c r="F952" s="20"/>
    </row>
    <row r="953">
      <c r="F953" s="20"/>
    </row>
    <row r="954">
      <c r="F954" s="20"/>
    </row>
    <row r="955">
      <c r="F955" s="20"/>
    </row>
    <row r="956">
      <c r="F956" s="20"/>
    </row>
    <row r="957">
      <c r="F957" s="20"/>
    </row>
    <row r="958">
      <c r="F958" s="20"/>
    </row>
    <row r="959">
      <c r="F959" s="20"/>
    </row>
    <row r="960">
      <c r="F960" s="20"/>
    </row>
    <row r="961">
      <c r="F961" s="20"/>
    </row>
    <row r="962">
      <c r="F962" s="20"/>
    </row>
    <row r="963">
      <c r="F963" s="20"/>
    </row>
    <row r="964">
      <c r="F964" s="20"/>
    </row>
    <row r="965">
      <c r="F965" s="20"/>
    </row>
    <row r="966">
      <c r="F966" s="20"/>
    </row>
    <row r="967">
      <c r="F967" s="20"/>
    </row>
    <row r="968">
      <c r="F968" s="20"/>
    </row>
    <row r="969">
      <c r="F969" s="20"/>
    </row>
    <row r="970">
      <c r="F970" s="20"/>
    </row>
    <row r="971">
      <c r="F971" s="20"/>
    </row>
    <row r="972">
      <c r="F972" s="20"/>
    </row>
    <row r="973">
      <c r="F973" s="20"/>
    </row>
    <row r="974">
      <c r="F974" s="20"/>
    </row>
    <row r="975">
      <c r="F975" s="20"/>
    </row>
    <row r="976">
      <c r="F976" s="20"/>
    </row>
    <row r="977">
      <c r="F977" s="20"/>
    </row>
    <row r="978">
      <c r="F978" s="20"/>
    </row>
    <row r="979">
      <c r="F979" s="20"/>
    </row>
    <row r="980">
      <c r="F980" s="20"/>
    </row>
    <row r="981">
      <c r="F981" s="20"/>
    </row>
    <row r="982">
      <c r="F982" s="20"/>
    </row>
    <row r="983">
      <c r="F983" s="20"/>
    </row>
    <row r="984">
      <c r="F984" s="20"/>
    </row>
    <row r="985">
      <c r="F985" s="20"/>
    </row>
    <row r="986">
      <c r="F986" s="20"/>
    </row>
    <row r="987">
      <c r="F987" s="20"/>
    </row>
    <row r="988">
      <c r="F988" s="20"/>
    </row>
    <row r="989">
      <c r="F989" s="20"/>
    </row>
    <row r="990">
      <c r="F990" s="20"/>
    </row>
    <row r="991">
      <c r="F991" s="20"/>
    </row>
    <row r="992">
      <c r="F992" s="20"/>
    </row>
    <row r="993">
      <c r="F993" s="20"/>
    </row>
    <row r="994">
      <c r="F994" s="20"/>
    </row>
    <row r="995">
      <c r="F995" s="20"/>
    </row>
    <row r="996">
      <c r="F996" s="20"/>
    </row>
    <row r="997">
      <c r="F997" s="20"/>
    </row>
    <row r="998">
      <c r="F998" s="20"/>
    </row>
    <row r="999">
      <c r="F999" s="20"/>
    </row>
    <row r="1000">
      <c r="F1000" s="20"/>
    </row>
  </sheetData>
  <dataValidations>
    <dataValidation type="list" allowBlank="1" sqref="J2:J18">
      <formula1>"High,Medium,Low"</formula1>
    </dataValidation>
    <dataValidation type="list" allowBlank="1" sqref="I2:I18">
      <formula1>"Valid,Expires within 90 Days,Expired,Renewal in Progress"</formula1>
    </dataValidation>
    <dataValidation type="list" allowBlank="1" sqref="D2:D18">
      <formula1>"Registration,Certification,License,Accredition,Recognition"</formula1>
    </dataValidation>
    <dataValidation type="custom" allowBlank="1" showDropDown="1" sqref="G2:H18">
      <formula1>OR(NOT(ISERROR(DATEVALUE(G2))), AND(ISNUMBER(G2), LEFT(CELL("format", G2))="D"))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2" max="2" width="14.13"/>
    <col customWidth="1" min="3" max="3" width="15.88"/>
    <col customWidth="1" min="4" max="4" width="23.25"/>
    <col customWidth="1" min="5" max="5" width="14.25"/>
    <col customWidth="1" min="6" max="6" width="19.38"/>
    <col customWidth="1" min="7" max="7" width="17.88"/>
    <col customWidth="1" min="8" max="8" width="32.5"/>
    <col customWidth="1" min="9" max="9" width="23.63"/>
    <col customWidth="1" min="10" max="10" width="29.75"/>
    <col customWidth="1" min="11" max="11" width="19.25"/>
    <col customWidth="1" min="12" max="12" width="13.63"/>
    <col customWidth="1" min="13" max="13" width="12.0"/>
  </cols>
  <sheetData>
    <row r="1" ht="22.5" customHeight="1">
      <c r="A1" s="2" t="s">
        <v>0</v>
      </c>
      <c r="B1" s="2" t="s">
        <v>4</v>
      </c>
      <c r="C1" s="2" t="s">
        <v>8</v>
      </c>
      <c r="D1" s="2" t="s">
        <v>12</v>
      </c>
      <c r="E1" s="2" t="s">
        <v>16</v>
      </c>
      <c r="F1" s="2" t="s">
        <v>19</v>
      </c>
      <c r="G1" s="2" t="s">
        <v>22</v>
      </c>
      <c r="H1" s="2" t="s">
        <v>26</v>
      </c>
      <c r="I1" s="2" t="s">
        <v>30</v>
      </c>
      <c r="J1" s="2" t="s">
        <v>32</v>
      </c>
      <c r="K1" s="2" t="s">
        <v>35</v>
      </c>
      <c r="L1" s="2" t="s">
        <v>38</v>
      </c>
      <c r="M1" s="2" t="s">
        <v>43</v>
      </c>
    </row>
    <row r="2" ht="22.5" customHeight="1">
      <c r="A2" s="4">
        <v>1.0</v>
      </c>
      <c r="B2" s="4" t="s">
        <v>52</v>
      </c>
      <c r="C2" s="4" t="s">
        <v>55</v>
      </c>
      <c r="D2" s="6">
        <v>2.408428507E7</v>
      </c>
      <c r="E2" s="6">
        <v>4378147.28</v>
      </c>
      <c r="F2" s="6">
        <f t="shared" ref="F2:F7" si="1">SUM(D2:E2)</f>
        <v>28462432.35</v>
      </c>
      <c r="G2" s="7" t="s">
        <v>78</v>
      </c>
      <c r="H2" s="7" t="s">
        <v>79</v>
      </c>
      <c r="I2" s="7" t="s">
        <v>79</v>
      </c>
      <c r="J2" s="7" t="s">
        <v>79</v>
      </c>
      <c r="K2" s="7" t="s">
        <v>79</v>
      </c>
      <c r="L2" s="14" t="str">
        <f t="shared" ref="L2:L3" si="2">HYPERLINK("https://drive.google.com/drive/folders/1DiS9g9fqqZH8WUan7IRVWbkD_Mh8vIdb?usp=drive_link",C2)</f>
        <v>FY 2020-21</v>
      </c>
      <c r="M2" s="4"/>
    </row>
    <row r="3" ht="22.5" customHeight="1">
      <c r="A3" s="4">
        <v>2.0</v>
      </c>
      <c r="B3" s="4" t="s">
        <v>89</v>
      </c>
      <c r="C3" s="4" t="s">
        <v>90</v>
      </c>
      <c r="D3" s="6">
        <v>2.726894462E7</v>
      </c>
      <c r="E3" s="6">
        <v>3969799.6</v>
      </c>
      <c r="F3" s="6">
        <f t="shared" si="1"/>
        <v>31238744.22</v>
      </c>
      <c r="G3" s="7" t="s">
        <v>78</v>
      </c>
      <c r="H3" s="7" t="s">
        <v>79</v>
      </c>
      <c r="I3" s="7" t="s">
        <v>79</v>
      </c>
      <c r="J3" s="7" t="s">
        <v>79</v>
      </c>
      <c r="K3" s="7" t="s">
        <v>79</v>
      </c>
      <c r="L3" s="14" t="str">
        <f t="shared" si="2"/>
        <v>FY 2021-22</v>
      </c>
      <c r="M3" s="4"/>
    </row>
    <row r="4" ht="22.5" customHeight="1">
      <c r="A4" s="4">
        <v>3.0</v>
      </c>
      <c r="B4" s="4" t="s">
        <v>99</v>
      </c>
      <c r="C4" s="4" t="s">
        <v>100</v>
      </c>
      <c r="D4" s="6">
        <v>8.528408397E7</v>
      </c>
      <c r="E4" s="6">
        <v>1.432460821E7</v>
      </c>
      <c r="F4" s="6">
        <f t="shared" si="1"/>
        <v>99608692.18</v>
      </c>
      <c r="G4" s="7" t="s">
        <v>78</v>
      </c>
      <c r="H4" s="7" t="s">
        <v>79</v>
      </c>
      <c r="I4" s="7" t="s">
        <v>79</v>
      </c>
      <c r="J4" s="7" t="s">
        <v>79</v>
      </c>
      <c r="K4" s="7" t="s">
        <v>79</v>
      </c>
      <c r="L4" s="14" t="str">
        <f>HYPERLINK("https://drive.google.com/drive/folders/1VYHwfzeZvTMjbJ5-LINq_W9Znw3_JL7B?usp=drive_link",C4)</f>
        <v>FY 2022-23</v>
      </c>
      <c r="M4" s="4"/>
    </row>
    <row r="5" ht="22.5" customHeight="1">
      <c r="A5" s="4">
        <v>4.0</v>
      </c>
      <c r="B5" s="4" t="s">
        <v>106</v>
      </c>
      <c r="C5" s="4" t="s">
        <v>107</v>
      </c>
      <c r="D5" s="6">
        <v>1.5492628113E8</v>
      </c>
      <c r="E5" s="6">
        <v>2.5574066E7</v>
      </c>
      <c r="F5" s="6">
        <f t="shared" si="1"/>
        <v>180500347.1</v>
      </c>
      <c r="G5" s="7" t="s">
        <v>78</v>
      </c>
      <c r="H5" s="7" t="s">
        <v>79</v>
      </c>
      <c r="I5" s="7" t="s">
        <v>79</v>
      </c>
      <c r="J5" s="7" t="s">
        <v>79</v>
      </c>
      <c r="K5" s="7" t="s">
        <v>79</v>
      </c>
      <c r="L5" s="18" t="str">
        <f>HYPERLINK("https://drive.google.com/drive/folders/1RnCiEsTnd6CBGM1V4J6AHU541JBcY7rc?usp=drive_link",C5)</f>
        <v>FY 2023-24</v>
      </c>
      <c r="M5" s="4"/>
    </row>
    <row r="6" ht="22.5" customHeight="1">
      <c r="A6" s="4">
        <v>5.0</v>
      </c>
      <c r="B6" s="4" t="s">
        <v>120</v>
      </c>
      <c r="C6" s="4" t="s">
        <v>121</v>
      </c>
      <c r="D6" s="6">
        <v>1.3725884692E8</v>
      </c>
      <c r="E6" s="6">
        <v>2.474364971E7</v>
      </c>
      <c r="F6" s="6">
        <f t="shared" si="1"/>
        <v>162002496.6</v>
      </c>
      <c r="G6" s="7" t="s">
        <v>78</v>
      </c>
      <c r="H6" s="7" t="s">
        <v>79</v>
      </c>
      <c r="I6" s="7" t="s">
        <v>79</v>
      </c>
      <c r="J6" s="7" t="s">
        <v>79</v>
      </c>
      <c r="K6" s="7" t="s">
        <v>79</v>
      </c>
      <c r="L6" s="18" t="str">
        <f>HYPERLINK("https://drive.google.com/drive/folders/1pxcL8BznHlFDkRZuDnMiycUnnvH6YMS5?usp=drive_link",C6)</f>
        <v>FY 2024-25</v>
      </c>
      <c r="M6" s="4"/>
    </row>
    <row r="7" ht="22.5" customHeight="1">
      <c r="A7" s="4">
        <v>6.0</v>
      </c>
      <c r="B7" s="4" t="s">
        <v>127</v>
      </c>
      <c r="C7" s="4" t="s">
        <v>129</v>
      </c>
      <c r="D7" s="6">
        <v>1.7416105939E8</v>
      </c>
      <c r="E7" s="6">
        <v>3.133665541E7</v>
      </c>
      <c r="F7" s="6">
        <f t="shared" si="1"/>
        <v>205497714.8</v>
      </c>
      <c r="G7" s="7" t="s">
        <v>130</v>
      </c>
      <c r="H7" s="7" t="s">
        <v>131</v>
      </c>
      <c r="I7" s="7" t="s">
        <v>131</v>
      </c>
      <c r="J7" s="7" t="s">
        <v>131</v>
      </c>
      <c r="K7" s="7" t="s">
        <v>131</v>
      </c>
      <c r="L7" s="18" t="str">
        <f>HYPERLINK("https://drive.google.com/drive/folders/1nCRe-NsTsUIOZ0S0_JA30Eyocx9gr9NA?usp=drive_link",C7)</f>
        <v>FY 2025-26</v>
      </c>
      <c r="M7" s="4"/>
    </row>
  </sheetData>
  <dataValidations>
    <dataValidation type="list" allowBlank="1" sqref="I2:K7">
      <formula1>"Yes,Applied,No"</formula1>
    </dataValidation>
    <dataValidation type="list" allowBlank="1" sqref="H2:H7">
      <formula1>"Yes,Applied,No"</formula1>
    </dataValidation>
    <dataValidation type="custom" allowBlank="1" showDropDown="1" sqref="D2:F7">
      <formula1>AND(ISNUMBER(D2),(NOT(OR(NOT(ISERROR(DATEVALUE(D2))), AND(ISNUMBER(D2), LEFT(CELL("format", D2))="D")))))</formula1>
    </dataValidation>
    <dataValidation type="list" allowBlank="1" sqref="G2:G7">
      <formula1>"AUDITED FILED,UNDER AUDIT,UNAUDITED"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5.5"/>
    <col customWidth="1" min="4" max="4" width="17.75"/>
    <col customWidth="1" min="5" max="6" width="22.0"/>
    <col customWidth="1" min="7" max="7" width="15.0"/>
    <col customWidth="1" min="8" max="8" width="18.63"/>
    <col customWidth="1" min="9" max="9" width="16.13"/>
    <col customWidth="1" min="10" max="10" width="30.25"/>
    <col customWidth="1" min="11" max="11" width="17.13"/>
    <col customWidth="1" min="12" max="12" width="18.75"/>
    <col customWidth="1" min="13" max="13" width="19.75"/>
    <col customWidth="1" min="14" max="14" width="19.0"/>
    <col customWidth="1" min="15" max="15" width="20.25"/>
    <col customWidth="1" min="16" max="16" width="15.13"/>
  </cols>
  <sheetData>
    <row r="1" ht="22.5" customHeight="1">
      <c r="A1" s="2" t="s">
        <v>0</v>
      </c>
      <c r="B1" s="2" t="s">
        <v>3</v>
      </c>
      <c r="C1" s="2" t="s">
        <v>7</v>
      </c>
      <c r="D1" s="2" t="s">
        <v>11</v>
      </c>
      <c r="E1" s="3" t="s">
        <v>6</v>
      </c>
      <c r="F1" s="2" t="s">
        <v>21</v>
      </c>
      <c r="G1" s="2" t="s">
        <v>25</v>
      </c>
      <c r="H1" s="2" t="s">
        <v>15</v>
      </c>
      <c r="I1" s="2" t="s">
        <v>17</v>
      </c>
      <c r="J1" s="2" t="s">
        <v>34</v>
      </c>
      <c r="K1" s="2" t="s">
        <v>37</v>
      </c>
      <c r="L1" s="2" t="s">
        <v>41</v>
      </c>
      <c r="M1" s="2" t="s">
        <v>46</v>
      </c>
      <c r="N1" s="2" t="s">
        <v>48</v>
      </c>
      <c r="O1" s="2" t="s">
        <v>51</v>
      </c>
      <c r="P1" s="2" t="s">
        <v>54</v>
      </c>
      <c r="Q1" s="3" t="s">
        <v>58</v>
      </c>
      <c r="R1" s="3" t="s">
        <v>63</v>
      </c>
      <c r="S1" s="3" t="s">
        <v>64</v>
      </c>
      <c r="T1" s="2" t="s">
        <v>43</v>
      </c>
    </row>
    <row r="2" ht="22.5" customHeight="1">
      <c r="A2" s="4"/>
      <c r="B2" s="4"/>
      <c r="C2" s="4"/>
      <c r="D2" s="4"/>
      <c r="E2" s="4"/>
      <c r="F2" s="4"/>
      <c r="G2" s="4"/>
      <c r="H2" s="4"/>
      <c r="I2" s="4"/>
      <c r="J2" s="11"/>
      <c r="K2" s="11"/>
      <c r="L2" s="11"/>
      <c r="M2" s="11"/>
      <c r="N2" s="11"/>
      <c r="O2" s="11"/>
      <c r="P2" s="11"/>
      <c r="Q2" s="4"/>
      <c r="R2" s="4"/>
      <c r="S2" s="4"/>
      <c r="T2" s="4"/>
    </row>
  </sheetData>
  <dataValidations>
    <dataValidation type="list" allowBlank="1" sqref="K2:O2">
      <formula1>"Qualified,Not Qualified,Need Verification"</formula1>
    </dataValidation>
    <dataValidation type="list" allowBlank="1" sqref="P2">
      <formula1>"Participate,Management Decision,No Bid"</formula1>
    </dataValidation>
    <dataValidation type="list" allowBlank="1" sqref="J2">
      <formula1>"Qualified,Not Qualified,Need Verification"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13.63"/>
    <col customWidth="1" min="3" max="3" width="12.75"/>
    <col customWidth="1" min="4" max="4" width="15.63"/>
    <col customWidth="1" min="5" max="5" width="18.63"/>
    <col customWidth="1" min="6" max="6" width="22.0"/>
    <col customWidth="1" min="7" max="7" width="18.88"/>
    <col customWidth="1" min="9" max="9" width="31.5"/>
    <col customWidth="1" min="10" max="10" width="20.25"/>
    <col customWidth="1" min="11" max="11" width="30.88"/>
  </cols>
  <sheetData>
    <row r="1" ht="22.5" customHeight="1">
      <c r="A1" s="2" t="s">
        <v>0</v>
      </c>
      <c r="B1" s="2" t="s">
        <v>215</v>
      </c>
      <c r="C1" s="2" t="s">
        <v>1</v>
      </c>
      <c r="D1" s="2" t="s">
        <v>2</v>
      </c>
      <c r="E1" s="2" t="s">
        <v>15</v>
      </c>
      <c r="F1" s="2" t="s">
        <v>217</v>
      </c>
      <c r="G1" s="2" t="s">
        <v>218</v>
      </c>
      <c r="H1" s="2" t="s">
        <v>220</v>
      </c>
      <c r="I1" s="2" t="s">
        <v>222</v>
      </c>
      <c r="J1" s="2" t="s">
        <v>223</v>
      </c>
      <c r="K1" s="2" t="s">
        <v>43</v>
      </c>
    </row>
    <row r="2" ht="22.5" customHeight="1">
      <c r="A2" s="4">
        <v>1.0</v>
      </c>
      <c r="B2" s="4" t="s">
        <v>226</v>
      </c>
      <c r="C2" s="4" t="s">
        <v>227</v>
      </c>
      <c r="D2" s="4" t="s">
        <v>228</v>
      </c>
      <c r="E2" s="7" t="s">
        <v>231</v>
      </c>
      <c r="F2" s="7" t="s">
        <v>233</v>
      </c>
      <c r="G2" s="4">
        <v>1.0</v>
      </c>
      <c r="H2" s="4" t="s">
        <v>234</v>
      </c>
      <c r="I2" s="4" t="s">
        <v>159</v>
      </c>
      <c r="J2" s="7" t="s">
        <v>79</v>
      </c>
      <c r="K2" s="4"/>
    </row>
    <row r="3" ht="22.5" customHeight="1">
      <c r="A3" s="4">
        <v>2.0</v>
      </c>
      <c r="B3" s="4" t="s">
        <v>239</v>
      </c>
      <c r="C3" s="4" t="s">
        <v>227</v>
      </c>
      <c r="D3" s="4" t="s">
        <v>228</v>
      </c>
      <c r="E3" s="7" t="s">
        <v>231</v>
      </c>
      <c r="F3" s="7" t="s">
        <v>240</v>
      </c>
      <c r="G3" s="4">
        <v>9.0</v>
      </c>
      <c r="H3" s="4" t="s">
        <v>242</v>
      </c>
      <c r="I3" s="4" t="s">
        <v>159</v>
      </c>
      <c r="J3" s="7" t="s">
        <v>79</v>
      </c>
      <c r="K3" s="4"/>
    </row>
    <row r="4" ht="22.5" customHeight="1">
      <c r="A4" s="4">
        <v>3.0</v>
      </c>
      <c r="B4" s="4" t="s">
        <v>243</v>
      </c>
      <c r="C4" s="4" t="s">
        <v>244</v>
      </c>
      <c r="D4" s="4" t="s">
        <v>245</v>
      </c>
      <c r="E4" s="7" t="s">
        <v>83</v>
      </c>
      <c r="F4" s="7" t="s">
        <v>250</v>
      </c>
      <c r="G4" s="4">
        <v>500.0</v>
      </c>
      <c r="H4" s="4" t="s">
        <v>242</v>
      </c>
      <c r="I4" s="4" t="s">
        <v>159</v>
      </c>
      <c r="J4" s="7" t="s">
        <v>79</v>
      </c>
      <c r="K4" s="4"/>
    </row>
    <row r="5" ht="22.5" customHeight="1">
      <c r="A5" s="4">
        <v>4.0</v>
      </c>
      <c r="B5" s="4" t="s">
        <v>252</v>
      </c>
      <c r="C5" s="4" t="s">
        <v>254</v>
      </c>
      <c r="D5" s="4" t="s">
        <v>255</v>
      </c>
      <c r="E5" s="7" t="s">
        <v>141</v>
      </c>
      <c r="F5" s="7" t="s">
        <v>256</v>
      </c>
      <c r="G5" s="4">
        <v>20.0</v>
      </c>
      <c r="H5" s="4" t="s">
        <v>242</v>
      </c>
      <c r="I5" s="4" t="s">
        <v>259</v>
      </c>
      <c r="J5" s="7" t="s">
        <v>79</v>
      </c>
      <c r="K5" s="4"/>
    </row>
    <row r="6" ht="22.5" customHeight="1">
      <c r="A6" s="4">
        <v>5.0</v>
      </c>
      <c r="B6" s="4" t="s">
        <v>260</v>
      </c>
      <c r="C6" s="4" t="s">
        <v>254</v>
      </c>
      <c r="D6" s="4" t="s">
        <v>255</v>
      </c>
      <c r="E6" s="7" t="s">
        <v>141</v>
      </c>
      <c r="F6" s="7" t="s">
        <v>250</v>
      </c>
      <c r="G6" s="4">
        <v>10.0</v>
      </c>
      <c r="H6" s="4" t="s">
        <v>242</v>
      </c>
      <c r="I6" s="4" t="s">
        <v>259</v>
      </c>
      <c r="J6" s="7" t="s">
        <v>79</v>
      </c>
      <c r="K6" s="4"/>
    </row>
    <row r="7" ht="22.5" customHeight="1">
      <c r="A7" s="4">
        <v>6.0</v>
      </c>
      <c r="B7" s="4" t="s">
        <v>267</v>
      </c>
      <c r="C7" s="4" t="s">
        <v>254</v>
      </c>
      <c r="D7" s="4" t="s">
        <v>255</v>
      </c>
      <c r="E7" s="7" t="s">
        <v>141</v>
      </c>
      <c r="F7" s="7" t="s">
        <v>233</v>
      </c>
      <c r="G7" s="4">
        <v>2.0</v>
      </c>
      <c r="H7" s="4" t="s">
        <v>234</v>
      </c>
      <c r="I7" s="4" t="s">
        <v>259</v>
      </c>
      <c r="J7" s="7" t="s">
        <v>79</v>
      </c>
      <c r="K7" s="4" t="s">
        <v>270</v>
      </c>
    </row>
    <row r="8" ht="22.5" customHeight="1">
      <c r="A8" s="4">
        <v>7.0</v>
      </c>
      <c r="B8" s="4" t="s">
        <v>271</v>
      </c>
      <c r="C8" s="4" t="s">
        <v>254</v>
      </c>
      <c r="D8" s="4" t="s">
        <v>255</v>
      </c>
      <c r="E8" s="7" t="s">
        <v>141</v>
      </c>
      <c r="F8" s="7" t="s">
        <v>240</v>
      </c>
      <c r="G8" s="4">
        <v>10.0</v>
      </c>
      <c r="H8" s="4" t="s">
        <v>242</v>
      </c>
      <c r="I8" s="4" t="s">
        <v>259</v>
      </c>
      <c r="J8" s="7" t="s">
        <v>79</v>
      </c>
      <c r="K8" s="4"/>
    </row>
    <row r="9" ht="22.5" customHeight="1">
      <c r="A9" s="4">
        <v>8.0</v>
      </c>
      <c r="B9" s="4" t="s">
        <v>274</v>
      </c>
      <c r="C9" s="4" t="s">
        <v>254</v>
      </c>
      <c r="D9" s="4" t="s">
        <v>255</v>
      </c>
      <c r="E9" s="7" t="s">
        <v>141</v>
      </c>
      <c r="F9" s="7" t="s">
        <v>276</v>
      </c>
      <c r="G9" s="4">
        <v>2.0</v>
      </c>
      <c r="H9" s="4" t="s">
        <v>242</v>
      </c>
      <c r="I9" s="4" t="s">
        <v>259</v>
      </c>
      <c r="J9" s="7" t="s">
        <v>79</v>
      </c>
      <c r="K9" s="4"/>
    </row>
    <row r="10" ht="22.5" customHeight="1">
      <c r="A10" s="4">
        <v>9.0</v>
      </c>
      <c r="B10" s="4" t="s">
        <v>279</v>
      </c>
      <c r="C10" s="4" t="s">
        <v>254</v>
      </c>
      <c r="D10" s="4" t="s">
        <v>255</v>
      </c>
      <c r="E10" s="7" t="s">
        <v>141</v>
      </c>
      <c r="F10" s="7" t="s">
        <v>280</v>
      </c>
      <c r="G10" s="4">
        <v>10.0</v>
      </c>
      <c r="H10" s="4" t="s">
        <v>281</v>
      </c>
      <c r="I10" s="4" t="s">
        <v>259</v>
      </c>
      <c r="J10" s="7" t="s">
        <v>79</v>
      </c>
      <c r="K10" s="4"/>
    </row>
    <row r="11" ht="22.5" customHeight="1">
      <c r="A11" s="4">
        <v>10.0</v>
      </c>
      <c r="B11" s="4" t="s">
        <v>282</v>
      </c>
      <c r="C11" s="4" t="s">
        <v>254</v>
      </c>
      <c r="D11" s="4" t="s">
        <v>255</v>
      </c>
      <c r="E11" s="7" t="s">
        <v>141</v>
      </c>
      <c r="F11" s="7" t="s">
        <v>284</v>
      </c>
      <c r="G11" s="4">
        <v>10.0</v>
      </c>
      <c r="H11" s="4" t="s">
        <v>242</v>
      </c>
      <c r="I11" s="4" t="s">
        <v>259</v>
      </c>
      <c r="J11" s="7" t="s">
        <v>79</v>
      </c>
      <c r="K11" s="4"/>
    </row>
  </sheetData>
  <dataValidations>
    <dataValidation type="list" allowBlank="1" sqref="F2:F11">
      <formula1>"CCTV Camera,ANPR Camera,Face Recognition Camera,Body Worn Camera,Docking Station,Server,NVR,Desktop,Laptop,Video Wall,Wireless Node,OFC,Workstation,Software Platform,Software User License,Software Camera License,4G Connectivity"</formula1>
    </dataValidation>
    <dataValidation type="list" allowBlank="1" showErrorMessage="1" sqref="E2:E11">
      <formula1>"Surveillance,Traffic Enforcement,Networking,Forensics,Drone Solutions,Command &amp; Control,Digital Evidence Management,AI &amp; Analytics,IT Infrastructure,Software Solutions"</formula1>
    </dataValidation>
    <dataValidation type="list" allowBlank="1" sqref="J2:J11">
      <formula1>"Yes,Applied,Work Under Progress,No"</formula1>
    </dataValidation>
  </dataValidations>
  <drawing r:id="rId1"/>
  <tableParts count="1">
    <tablePart r:id="rId3"/>
  </tableParts>
</worksheet>
</file>